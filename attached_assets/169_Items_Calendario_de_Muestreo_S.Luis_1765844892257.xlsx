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reyes\Desktop\PEDIDO DE INVENTARIO\"/>
    </mc:Choice>
  </mc:AlternateContent>
  <bookViews>
    <workbookView xWindow="0" yWindow="0" windowWidth="24000" windowHeight="9135"/>
  </bookViews>
  <sheets>
    <sheet name="Export" sheetId="1" r:id="rId1"/>
  </sheets>
  <definedNames>
    <definedName name="_xlnm._FilterDatabase" localSheetId="0" hidden="1">Export!$A$4:$F$285</definedName>
  </definedNames>
  <calcPr calcId="152511"/>
</workbook>
</file>

<file path=xl/calcChain.xml><?xml version="1.0" encoding="utf-8"?>
<calcChain xmlns="http://schemas.openxmlformats.org/spreadsheetml/2006/main">
  <c r="M1" i="1" l="1"/>
  <c r="I1" i="1"/>
  <c r="G1" i="1"/>
  <c r="A6" i="1" l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5" i="1"/>
</calcChain>
</file>

<file path=xl/sharedStrings.xml><?xml version="1.0" encoding="utf-8"?>
<sst xmlns="http://schemas.openxmlformats.org/spreadsheetml/2006/main" count="868" uniqueCount="314">
  <si>
    <t>LA TIJERA SAN LUIS</t>
  </si>
  <si>
    <t>Cód. base / artículo</t>
  </si>
  <si>
    <t>Stock Cons.</t>
  </si>
  <si>
    <t>Meses de stock</t>
  </si>
  <si>
    <t>Mes S/Ajustes</t>
  </si>
  <si>
    <t>Alerta Stock</t>
  </si>
  <si>
    <t>1</t>
  </si>
  <si>
    <t>8</t>
  </si>
  <si>
    <t>3</t>
  </si>
  <si>
    <t>0</t>
  </si>
  <si>
    <t>BL710100</t>
  </si>
  <si>
    <t xml:space="preserve"> Sobrestock</t>
  </si>
  <si>
    <t>4</t>
  </si>
  <si>
    <t>2</t>
  </si>
  <si>
    <t>TF61M</t>
  </si>
  <si>
    <t>5</t>
  </si>
  <si>
    <t>TF112L</t>
  </si>
  <si>
    <t>7</t>
  </si>
  <si>
    <t>Sin Ajustes 1A</t>
  </si>
  <si>
    <t>TD36TM</t>
  </si>
  <si>
    <t>6</t>
  </si>
  <si>
    <t>BL54X-100</t>
  </si>
  <si>
    <t>OT003B00</t>
  </si>
  <si>
    <t>TA56L</t>
  </si>
  <si>
    <t>TA11PM</t>
  </si>
  <si>
    <t>TA58E</t>
  </si>
  <si>
    <t>TF165</t>
  </si>
  <si>
    <t>10</t>
  </si>
  <si>
    <t>TV103</t>
  </si>
  <si>
    <t>TV84S</t>
  </si>
  <si>
    <t>TV84C</t>
  </si>
  <si>
    <t>TA137R00</t>
  </si>
  <si>
    <t>TA170S00</t>
  </si>
  <si>
    <t>OT003M38</t>
  </si>
  <si>
    <t>TA73</t>
  </si>
  <si>
    <t>TF166A</t>
  </si>
  <si>
    <t>TF307S</t>
  </si>
  <si>
    <t>TA605LX</t>
  </si>
  <si>
    <t>TV139F</t>
  </si>
  <si>
    <t>BL704400</t>
  </si>
  <si>
    <t>TD195OT</t>
  </si>
  <si>
    <t>TD197M</t>
  </si>
  <si>
    <t>9</t>
  </si>
  <si>
    <t>TF61T</t>
  </si>
  <si>
    <t>TA09023</t>
  </si>
  <si>
    <t>TD2163</t>
  </si>
  <si>
    <t>TA70SF</t>
  </si>
  <si>
    <t>TV51S01</t>
  </si>
  <si>
    <t>TC507M00</t>
  </si>
  <si>
    <t>TV80M</t>
  </si>
  <si>
    <t>TA148J</t>
  </si>
  <si>
    <t>TF72R</t>
  </si>
  <si>
    <t>TA008T00</t>
  </si>
  <si>
    <t>TA400TX00</t>
  </si>
  <si>
    <t>TF166L</t>
  </si>
  <si>
    <t>TF62M</t>
  </si>
  <si>
    <t xml:space="preserve"> Sin rotación</t>
  </si>
  <si>
    <t>TA452T</t>
  </si>
  <si>
    <t>TA58I</t>
  </si>
  <si>
    <t>TA56LF06</t>
  </si>
  <si>
    <t>TA77-3T11</t>
  </si>
  <si>
    <t>TD36TM00</t>
  </si>
  <si>
    <t>TA148G</t>
  </si>
  <si>
    <t>OT05M05</t>
  </si>
  <si>
    <t>TD09027</t>
  </si>
  <si>
    <t>BL54E-100</t>
  </si>
  <si>
    <t>11</t>
  </si>
  <si>
    <t>TV84B</t>
  </si>
  <si>
    <t>TD39C</t>
  </si>
  <si>
    <t>TA451S03</t>
  </si>
  <si>
    <t>OT003M39</t>
  </si>
  <si>
    <t>TV80C</t>
  </si>
  <si>
    <t>TA01B00</t>
  </si>
  <si>
    <t>TF172L</t>
  </si>
  <si>
    <t>TV82M</t>
  </si>
  <si>
    <t>TA77-3S00</t>
  </si>
  <si>
    <t>BL8000</t>
  </si>
  <si>
    <t>OT05M09</t>
  </si>
  <si>
    <t>TA56LF08</t>
  </si>
  <si>
    <t>TA72RJ00</t>
  </si>
  <si>
    <t>TD37C</t>
  </si>
  <si>
    <t>OT003M66</t>
  </si>
  <si>
    <t>TA424P</t>
  </si>
  <si>
    <t>BL544MF-200</t>
  </si>
  <si>
    <t>BL719600</t>
  </si>
  <si>
    <t>OT003M68</t>
  </si>
  <si>
    <t>TA82F</t>
  </si>
  <si>
    <t>BL7007I00</t>
  </si>
  <si>
    <t>TV450L</t>
  </si>
  <si>
    <t>TA170</t>
  </si>
  <si>
    <t>TD2135</t>
  </si>
  <si>
    <t>TD89G-300</t>
  </si>
  <si>
    <t>OT003M50</t>
  </si>
  <si>
    <t>TD106G</t>
  </si>
  <si>
    <t>TA456T</t>
  </si>
  <si>
    <t>BL54E-200</t>
  </si>
  <si>
    <t>TD302SM</t>
  </si>
  <si>
    <t>BL54A-100</t>
  </si>
  <si>
    <t>TD09012</t>
  </si>
  <si>
    <t>TV450</t>
  </si>
  <si>
    <t>TF44KM</t>
  </si>
  <si>
    <t>BL35024</t>
  </si>
  <si>
    <t>BL60200</t>
  </si>
  <si>
    <t>BL7045S01</t>
  </si>
  <si>
    <t>BL7045S02</t>
  </si>
  <si>
    <t>BL7045S03</t>
  </si>
  <si>
    <t>BL7045S04</t>
  </si>
  <si>
    <t>TA451S09</t>
  </si>
  <si>
    <t>TA53L</t>
  </si>
  <si>
    <t>BL7505C00</t>
  </si>
  <si>
    <t>BL8-100</t>
  </si>
  <si>
    <t>OT05M01</t>
  </si>
  <si>
    <t>TV605TV</t>
  </si>
  <si>
    <t>TD106G-3</t>
  </si>
  <si>
    <t>OT003M19</t>
  </si>
  <si>
    <t>TA451S04</t>
  </si>
  <si>
    <t>BL7048100</t>
  </si>
  <si>
    <t>BL7108-200</t>
  </si>
  <si>
    <t>TA70S</t>
  </si>
  <si>
    <t>TA89R00</t>
  </si>
  <si>
    <t>BL7039</t>
  </si>
  <si>
    <t>OT003M02</t>
  </si>
  <si>
    <t>OT003M10</t>
  </si>
  <si>
    <t>OT003M69</t>
  </si>
  <si>
    <t>BL7056</t>
  </si>
  <si>
    <t>TC605LX04</t>
  </si>
  <si>
    <t>TF132</t>
  </si>
  <si>
    <t>TA610</t>
  </si>
  <si>
    <t>TA456M05</t>
  </si>
  <si>
    <t>OT003M83</t>
  </si>
  <si>
    <t>TD2155</t>
  </si>
  <si>
    <t>TA82PT00</t>
  </si>
  <si>
    <t>BL8P</t>
  </si>
  <si>
    <t>OT003M87</t>
  </si>
  <si>
    <t>TD37S</t>
  </si>
  <si>
    <t>BL3600500</t>
  </si>
  <si>
    <t>BL60600</t>
  </si>
  <si>
    <t>BL704000</t>
  </si>
  <si>
    <t>BL7198M00</t>
  </si>
  <si>
    <t>BL8000E</t>
  </si>
  <si>
    <t>OT003M01</t>
  </si>
  <si>
    <t>OT003M22</t>
  </si>
  <si>
    <t>OT003M54</t>
  </si>
  <si>
    <t>OT003M67</t>
  </si>
  <si>
    <t>TA450T</t>
  </si>
  <si>
    <t>TV400TR</t>
  </si>
  <si>
    <t>TA451S21</t>
  </si>
  <si>
    <t>BL559-200</t>
  </si>
  <si>
    <t>TD39M</t>
  </si>
  <si>
    <t>TA89</t>
  </si>
  <si>
    <t>TD195X</t>
  </si>
  <si>
    <t>BL8E-200</t>
  </si>
  <si>
    <t>OT003M33</t>
  </si>
  <si>
    <t>TA80500</t>
  </si>
  <si>
    <t>BL7090</t>
  </si>
  <si>
    <t>TA451S12</t>
  </si>
  <si>
    <t>TA605S</t>
  </si>
  <si>
    <t>BL7010G00</t>
  </si>
  <si>
    <t>BL7047I100</t>
  </si>
  <si>
    <t>BL7114R00</t>
  </si>
  <si>
    <t>BL7119X</t>
  </si>
  <si>
    <t>BL7198P00</t>
  </si>
  <si>
    <t>BL7198V00</t>
  </si>
  <si>
    <t>OT05M15</t>
  </si>
  <si>
    <t>TA56E</t>
  </si>
  <si>
    <t>BL8I-200</t>
  </si>
  <si>
    <t>TV160</t>
  </si>
  <si>
    <t>TA77-3T27</t>
  </si>
  <si>
    <t>TA451S17</t>
  </si>
  <si>
    <t>TV451F</t>
  </si>
  <si>
    <t>TD11009</t>
  </si>
  <si>
    <t>BL542M-200</t>
  </si>
  <si>
    <t>BL54A-200</t>
  </si>
  <si>
    <t>BL7019M00</t>
  </si>
  <si>
    <t>BL7020M00</t>
  </si>
  <si>
    <t>BL7108-400</t>
  </si>
  <si>
    <t>BL719500</t>
  </si>
  <si>
    <t>OT003M73</t>
  </si>
  <si>
    <t>PVREM06P</t>
  </si>
  <si>
    <t>TC6019</t>
  </si>
  <si>
    <t>TF169P</t>
  </si>
  <si>
    <t>BL7114M00</t>
  </si>
  <si>
    <t>12</t>
  </si>
  <si>
    <t>OT003M14</t>
  </si>
  <si>
    <t>OT003M25</t>
  </si>
  <si>
    <t>OT003M32</t>
  </si>
  <si>
    <t>OT003M75</t>
  </si>
  <si>
    <t>OT003M77</t>
  </si>
  <si>
    <t>OT003M96</t>
  </si>
  <si>
    <t>PVREM05P</t>
  </si>
  <si>
    <t>TC6029</t>
  </si>
  <si>
    <t>TA82KT09</t>
  </si>
  <si>
    <t>TA456M04</t>
  </si>
  <si>
    <t>TF34RM</t>
  </si>
  <si>
    <t>TA56LX00</t>
  </si>
  <si>
    <t>BL544MF-100</t>
  </si>
  <si>
    <t>BL67100V04</t>
  </si>
  <si>
    <t>BL705500</t>
  </si>
  <si>
    <t>BL7108-300</t>
  </si>
  <si>
    <t>BL7113B</t>
  </si>
  <si>
    <t>BL7115J00</t>
  </si>
  <si>
    <t>BL8V-200</t>
  </si>
  <si>
    <t>TC506M09</t>
  </si>
  <si>
    <t>TC6027</t>
  </si>
  <si>
    <t>TC605LX16</t>
  </si>
  <si>
    <t>TF173M</t>
  </si>
  <si>
    <t>TF62F</t>
  </si>
  <si>
    <t>TA451S11</t>
  </si>
  <si>
    <t>BL003KE</t>
  </si>
  <si>
    <t>BL544-200</t>
  </si>
  <si>
    <t>BL544CF3</t>
  </si>
  <si>
    <t>BL60400</t>
  </si>
  <si>
    <t>BL700600</t>
  </si>
  <si>
    <t>BL7108-100</t>
  </si>
  <si>
    <t>BL7115L00</t>
  </si>
  <si>
    <t>BL7115M00</t>
  </si>
  <si>
    <t>PVPB730900</t>
  </si>
  <si>
    <t>TA57L</t>
  </si>
  <si>
    <t>TA89C00</t>
  </si>
  <si>
    <t>BL35022</t>
  </si>
  <si>
    <t>BL540-100</t>
  </si>
  <si>
    <t>BL558-300</t>
  </si>
  <si>
    <t>BL6546C00</t>
  </si>
  <si>
    <t>BL7047I00</t>
  </si>
  <si>
    <t>BL7048N</t>
  </si>
  <si>
    <t>BL7105100</t>
  </si>
  <si>
    <t>TA36L</t>
  </si>
  <si>
    <t>TA77-3R02</t>
  </si>
  <si>
    <t>BL0800</t>
  </si>
  <si>
    <t>BL542MC-00</t>
  </si>
  <si>
    <t>BL544C-2</t>
  </si>
  <si>
    <t>BL54X-200</t>
  </si>
  <si>
    <t>BL556-200</t>
  </si>
  <si>
    <t>BL67100V10</t>
  </si>
  <si>
    <t>BL7016A-200</t>
  </si>
  <si>
    <t>BL7016X200</t>
  </si>
  <si>
    <t>BL7019L00</t>
  </si>
  <si>
    <t>BL7042J</t>
  </si>
  <si>
    <t>BL7090C</t>
  </si>
  <si>
    <t>OT003M94</t>
  </si>
  <si>
    <t>OT05M04</t>
  </si>
  <si>
    <t>OT05M07</t>
  </si>
  <si>
    <t>TA82KT04</t>
  </si>
  <si>
    <t>TC400TX00</t>
  </si>
  <si>
    <t>TCCOMBO45</t>
  </si>
  <si>
    <t>TD02005</t>
  </si>
  <si>
    <t>TD36D</t>
  </si>
  <si>
    <t>TA82I</t>
  </si>
  <si>
    <t>TD143A</t>
  </si>
  <si>
    <t>TA451S19</t>
  </si>
  <si>
    <t>BL540-104</t>
  </si>
  <si>
    <t>BL544C-1</t>
  </si>
  <si>
    <t>BL556-300</t>
  </si>
  <si>
    <t>BL557-400</t>
  </si>
  <si>
    <t>BL7009K00</t>
  </si>
  <si>
    <t>BL7016200</t>
  </si>
  <si>
    <t>BL7018H00</t>
  </si>
  <si>
    <t>BL7020L00</t>
  </si>
  <si>
    <t>BL704500</t>
  </si>
  <si>
    <t>BL7047P-100</t>
  </si>
  <si>
    <t>BL7054R00</t>
  </si>
  <si>
    <t>BL8000M</t>
  </si>
  <si>
    <t>BL802200</t>
  </si>
  <si>
    <t>OT003M76</t>
  </si>
  <si>
    <t>TD67098</t>
  </si>
  <si>
    <t>TF62A</t>
  </si>
  <si>
    <t>TF169-3</t>
  </si>
  <si>
    <t>TV136J</t>
  </si>
  <si>
    <t>BL540-105</t>
  </si>
  <si>
    <t>BL6546M00</t>
  </si>
  <si>
    <t>BL7010N00</t>
  </si>
  <si>
    <t>BL7019H00</t>
  </si>
  <si>
    <t>BL7020U00</t>
  </si>
  <si>
    <t>BL7047I200</t>
  </si>
  <si>
    <t>BL7055C00</t>
  </si>
  <si>
    <t>BL7113</t>
  </si>
  <si>
    <t>BL711300</t>
  </si>
  <si>
    <t>BL8M-100</t>
  </si>
  <si>
    <t>OT05M02</t>
  </si>
  <si>
    <t>PVIN0194B0</t>
  </si>
  <si>
    <t>TV457D00</t>
  </si>
  <si>
    <t>TA59N-315</t>
  </si>
  <si>
    <t>TA82SX00</t>
  </si>
  <si>
    <t>TD37B</t>
  </si>
  <si>
    <t>ARHOJADEHIGUERA</t>
  </si>
  <si>
    <t>BL556-100</t>
  </si>
  <si>
    <t>BL61300</t>
  </si>
  <si>
    <t>BL6546F00</t>
  </si>
  <si>
    <t>BL6705200</t>
  </si>
  <si>
    <t>BL7009E00</t>
  </si>
  <si>
    <t>BL701000</t>
  </si>
  <si>
    <t>BL7020N00</t>
  </si>
  <si>
    <t>BL7198200</t>
  </si>
  <si>
    <t>BL7383P00</t>
  </si>
  <si>
    <t>BL8000MF00</t>
  </si>
  <si>
    <t>BL8K200</t>
  </si>
  <si>
    <t>PVFD70040015</t>
  </si>
  <si>
    <t>TA89FX00</t>
  </si>
  <si>
    <t>TC505X19</t>
  </si>
  <si>
    <t>TA08008</t>
  </si>
  <si>
    <t>TA451S29</t>
  </si>
  <si>
    <t>TA112J21</t>
  </si>
  <si>
    <t>TD156</t>
  </si>
  <si>
    <t>FLIA</t>
  </si>
  <si>
    <t>DICIEMBRE</t>
  </si>
  <si>
    <t>ENERO</t>
  </si>
  <si>
    <t>FEBRERO</t>
  </si>
  <si>
    <t>3° Semana</t>
  </si>
  <si>
    <t>4° Semana</t>
  </si>
  <si>
    <t>1° Semana</t>
  </si>
  <si>
    <t>2° Semana</t>
  </si>
  <si>
    <t>Cantidad de articulos a realizar:</t>
  </si>
  <si>
    <t>169 Items con sobrestock y sin rotacion</t>
  </si>
  <si>
    <t>S.LUIS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</si>
</sst>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name val="Calibri"/>
    </font>
    <font>
      <b/>
      <sz val="11"/>
      <name val="Calibri"/>
      <family val="2"/>
    </font>
    <font>
      <b/>
      <sz val="16"/>
      <color rgb="FFFF0000"/>
      <name val="Calibri"/>
      <family val="2"/>
    </font>
    <font>
      <b/>
      <sz val="20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2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3" borderId="2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/>
    </xf>
    <xf numFmtId="0" fontId="3" fillId="3" borderId="4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  <xf numFmtId="17" fontId="3" fillId="2" borderId="7" xfId="0" applyNumberFormat="1" applyFont="1" applyFill="1" applyBorder="1" applyAlignment="1">
      <alignment horizontal="center" vertical="top"/>
    </xf>
    <xf numFmtId="17" fontId="3" fillId="2" borderId="8" xfId="0" applyNumberFormat="1" applyFont="1" applyFill="1" applyBorder="1" applyAlignment="1">
      <alignment horizontal="center" vertical="top"/>
    </xf>
    <xf numFmtId="17" fontId="3" fillId="2" borderId="9" xfId="0" applyNumberFormat="1" applyFont="1" applyFill="1" applyBorder="1" applyAlignment="1">
      <alignment horizontal="center" vertical="top"/>
    </xf>
    <xf numFmtId="17" fontId="3" fillId="2" borderId="2" xfId="0" applyNumberFormat="1" applyFont="1" applyFill="1" applyBorder="1" applyAlignment="1">
      <alignment horizontal="center" vertical="top" wrapText="1"/>
    </xf>
    <xf numFmtId="17" fontId="3" fillId="2" borderId="4" xfId="0" applyNumberFormat="1" applyFont="1" applyFill="1" applyBorder="1" applyAlignment="1">
      <alignment horizontal="center" vertical="top" wrapText="1"/>
    </xf>
    <xf numFmtId="17" fontId="3" fillId="2" borderId="3" xfId="0" applyNumberFormat="1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top"/>
    </xf>
    <xf numFmtId="0" fontId="2" fillId="2" borderId="11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2" fillId="2" borderId="8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2" xfId="0" applyFont="1" applyFill="1" applyBorder="1" applyAlignment="1">
      <alignment horizontal="center" vertical="top"/>
    </xf>
    <xf numFmtId="0" fontId="4" fillId="2" borderId="13" xfId="0" applyFont="1" applyFill="1" applyBorder="1" applyAlignment="1">
      <alignment horizontal="center" vertical="top"/>
    </xf>
    <xf numFmtId="0" fontId="4" fillId="2" borderId="14" xfId="0" applyFont="1" applyFill="1" applyBorder="1" applyAlignment="1">
      <alignment horizontal="center" vertical="top"/>
    </xf>
    <xf numFmtId="0" fontId="3" fillId="2" borderId="7" xfId="0" applyFont="1" applyFill="1" applyBorder="1" applyAlignment="1">
      <alignment horizontal="center" vertical="top"/>
    </xf>
    <xf numFmtId="0" fontId="2" fillId="2" borderId="15" xfId="0" applyFont="1" applyFill="1" applyBorder="1" applyAlignment="1">
      <alignment horizontal="center" vertical="top"/>
    </xf>
    <xf numFmtId="0" fontId="0" fillId="0" borderId="16" xfId="0" applyBorder="1"/>
    <xf numFmtId="1" fontId="0" fillId="0" borderId="16" xfId="0" applyNumberFormat="1" applyBorder="1"/>
    <xf numFmtId="164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6" fillId="4" borderId="17" xfId="0" applyFont="1" applyFill="1" applyBorder="1" applyAlignment="1">
      <alignment horizontal="center" vertical="top"/>
    </xf>
    <xf numFmtId="0" fontId="6" fillId="4" borderId="18" xfId="0" applyFont="1" applyFill="1" applyBorder="1" applyAlignment="1">
      <alignment horizontal="center" vertical="top"/>
    </xf>
    <xf numFmtId="0" fontId="1" fillId="4" borderId="19" xfId="0" applyFont="1" applyFill="1" applyBorder="1" applyAlignment="1">
      <alignment horizontal="center" vertical="top"/>
    </xf>
    <xf numFmtId="0" fontId="1" fillId="4" borderId="20" xfId="0" applyFont="1" applyFill="1" applyBorder="1" applyAlignment="1">
      <alignment horizontal="center" vertical="top"/>
    </xf>
    <xf numFmtId="0" fontId="1" fillId="4" borderId="20" xfId="0" applyFont="1" applyFill="1" applyBorder="1" applyAlignment="1">
      <alignment horizontal="center" vertical="top" wrapText="1"/>
    </xf>
    <xf numFmtId="0" fontId="2" fillId="4" borderId="21" xfId="0" applyFont="1" applyFill="1" applyBorder="1" applyAlignment="1">
      <alignment horizontal="center" vertical="top"/>
    </xf>
    <xf numFmtId="0" fontId="2" fillId="4" borderId="16" xfId="0" applyFont="1" applyFill="1" applyBorder="1" applyAlignment="1">
      <alignment horizontal="center" vertical="top"/>
    </xf>
    <xf numFmtId="0" fontId="5" fillId="4" borderId="16" xfId="0" applyFont="1" applyFill="1" applyBorder="1" applyAlignment="1">
      <alignment horizontal="right" vertical="top"/>
    </xf>
    <xf numFmtId="0" fontId="6" fillId="4" borderId="22" xfId="0" applyFont="1" applyFill="1" applyBorder="1" applyAlignment="1">
      <alignment horizontal="center" vertical="top"/>
    </xf>
    <xf numFmtId="0" fontId="6" fillId="4" borderId="19" xfId="0" applyFont="1" applyFill="1" applyBorder="1" applyAlignment="1">
      <alignment horizontal="center" vertical="top"/>
    </xf>
    <xf numFmtId="0" fontId="6" fillId="4" borderId="20" xfId="0" applyFont="1" applyFill="1" applyBorder="1" applyAlignment="1">
      <alignment horizontal="center" vertical="top"/>
    </xf>
    <xf numFmtId="0" fontId="6" fillId="4" borderId="23" xfId="0" applyFont="1" applyFill="1" applyBorder="1" applyAlignment="1">
      <alignment horizontal="center" vertical="top"/>
    </xf>
    <xf numFmtId="0" fontId="5" fillId="4" borderId="24" xfId="0" applyFont="1" applyFill="1" applyBorder="1" applyAlignment="1">
      <alignment horizontal="right" vertical="top"/>
    </xf>
    <xf numFmtId="0" fontId="1" fillId="4" borderId="2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285"/>
  <sheetViews>
    <sheetView tabSelected="1" zoomScale="80" zoomScaleNormal="80" workbookViewId="0">
      <selection activeCell="G1" sqref="G1:P4"/>
    </sheetView>
  </sheetViews>
  <sheetFormatPr baseColWidth="10" defaultRowHeight="15" x14ac:dyDescent="0.25"/>
  <cols>
    <col min="2" max="2" width="24.85546875" customWidth="1"/>
    <col min="3" max="3" width="11" bestFit="1" customWidth="1"/>
    <col min="4" max="4" width="11.85546875" style="4" customWidth="1"/>
    <col min="5" max="5" width="13.5703125" style="4" bestFit="1" customWidth="1"/>
    <col min="6" max="6" width="19.42578125" style="4" bestFit="1" customWidth="1"/>
    <col min="7" max="16" width="13.140625" bestFit="1" customWidth="1"/>
  </cols>
  <sheetData>
    <row r="1" spans="1:16" ht="27" thickBot="1" x14ac:dyDescent="0.3">
      <c r="A1" s="37" t="s">
        <v>312</v>
      </c>
      <c r="B1" s="38"/>
      <c r="C1" s="38"/>
      <c r="D1" s="38"/>
      <c r="E1" s="38"/>
      <c r="F1" s="45"/>
      <c r="G1" s="8">
        <f>G3+H3</f>
        <v>33</v>
      </c>
      <c r="H1" s="7"/>
      <c r="I1" s="6">
        <f>I3+J3+K3+L3</f>
        <v>68</v>
      </c>
      <c r="J1" s="8"/>
      <c r="K1" s="8"/>
      <c r="L1" s="8"/>
      <c r="M1" s="9">
        <f>M3+N3+O3+P3</f>
        <v>68</v>
      </c>
      <c r="N1" s="10"/>
      <c r="O1" s="10"/>
      <c r="P1" s="11"/>
    </row>
    <row r="2" spans="1:16" ht="27" thickBot="1" x14ac:dyDescent="0.3">
      <c r="A2" s="46"/>
      <c r="B2" s="47"/>
      <c r="C2" s="47"/>
      <c r="D2" s="47"/>
      <c r="E2" s="47"/>
      <c r="F2" s="48"/>
      <c r="G2" s="31" t="s">
        <v>304</v>
      </c>
      <c r="H2" s="12"/>
      <c r="I2" s="13" t="s">
        <v>305</v>
      </c>
      <c r="J2" s="14"/>
      <c r="K2" s="14"/>
      <c r="L2" s="15"/>
      <c r="M2" s="16" t="s">
        <v>306</v>
      </c>
      <c r="N2" s="17"/>
      <c r="O2" s="17"/>
      <c r="P2" s="18"/>
    </row>
    <row r="3" spans="1:16" ht="24.75" customHeight="1" thickBot="1" x14ac:dyDescent="0.3">
      <c r="A3" s="42" t="s">
        <v>313</v>
      </c>
      <c r="B3" s="43"/>
      <c r="C3" s="44" t="s">
        <v>311</v>
      </c>
      <c r="D3" s="44" t="s">
        <v>0</v>
      </c>
      <c r="E3" s="44" t="s">
        <v>0</v>
      </c>
      <c r="F3" s="49" t="s">
        <v>0</v>
      </c>
      <c r="G3" s="32">
        <v>16</v>
      </c>
      <c r="H3" s="19">
        <v>17</v>
      </c>
      <c r="I3" s="19">
        <v>17</v>
      </c>
      <c r="J3" s="19">
        <v>17</v>
      </c>
      <c r="K3" s="19">
        <v>17</v>
      </c>
      <c r="L3" s="20">
        <v>17</v>
      </c>
      <c r="M3" s="21">
        <v>17</v>
      </c>
      <c r="N3" s="22">
        <v>17</v>
      </c>
      <c r="O3" s="22">
        <v>17</v>
      </c>
      <c r="P3" s="23">
        <v>17</v>
      </c>
    </row>
    <row r="4" spans="1:16" ht="42" customHeight="1" thickBot="1" x14ac:dyDescent="0.3">
      <c r="A4" s="39" t="s">
        <v>303</v>
      </c>
      <c r="B4" s="40" t="s">
        <v>1</v>
      </c>
      <c r="C4" s="40" t="s">
        <v>2</v>
      </c>
      <c r="D4" s="41" t="s">
        <v>3</v>
      </c>
      <c r="E4" s="41" t="s">
        <v>4</v>
      </c>
      <c r="F4" s="50" t="s">
        <v>5</v>
      </c>
      <c r="G4" s="25" t="s">
        <v>307</v>
      </c>
      <c r="H4" s="24" t="s">
        <v>308</v>
      </c>
      <c r="I4" s="25" t="s">
        <v>309</v>
      </c>
      <c r="J4" s="26" t="s">
        <v>310</v>
      </c>
      <c r="K4" s="26" t="s">
        <v>307</v>
      </c>
      <c r="L4" s="27" t="s">
        <v>308</v>
      </c>
      <c r="M4" s="28" t="s">
        <v>309</v>
      </c>
      <c r="N4" s="29" t="s">
        <v>310</v>
      </c>
      <c r="O4" s="29" t="s">
        <v>307</v>
      </c>
      <c r="P4" s="30" t="s">
        <v>308</v>
      </c>
    </row>
    <row r="5" spans="1:16" hidden="1" x14ac:dyDescent="0.25">
      <c r="A5" s="33" t="str">
        <f>LEFT(B5,2)</f>
        <v>BL</v>
      </c>
      <c r="B5" s="33" t="s">
        <v>10</v>
      </c>
      <c r="C5" s="34">
        <v>1122</v>
      </c>
      <c r="D5" s="35">
        <v>5.84375</v>
      </c>
      <c r="E5" s="36" t="s">
        <v>7</v>
      </c>
      <c r="F5" s="36" t="s">
        <v>11</v>
      </c>
    </row>
    <row r="6" spans="1:16" x14ac:dyDescent="0.25">
      <c r="A6" s="1" t="str">
        <f t="shared" ref="A6:A69" si="0">LEFT(B6,2)</f>
        <v>TF</v>
      </c>
      <c r="B6" s="1" t="s">
        <v>14</v>
      </c>
      <c r="C6" s="2">
        <v>856.94999999999993</v>
      </c>
      <c r="D6" s="5">
        <v>7.7516960651288995</v>
      </c>
      <c r="E6" s="3" t="s">
        <v>7</v>
      </c>
      <c r="F6" s="3" t="s">
        <v>11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 t="str">
        <f t="shared" si="0"/>
        <v>TF</v>
      </c>
      <c r="B7" s="1" t="s">
        <v>16</v>
      </c>
      <c r="C7" s="2">
        <v>599.59699999999998</v>
      </c>
      <c r="D7" s="5">
        <v>4.3734281546316556</v>
      </c>
      <c r="E7" s="3" t="s">
        <v>7</v>
      </c>
      <c r="F7" s="3" t="s">
        <v>11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 t="str">
        <f t="shared" si="0"/>
        <v>TD</v>
      </c>
      <c r="B8" s="1" t="s">
        <v>19</v>
      </c>
      <c r="C8" s="2">
        <v>387.9</v>
      </c>
      <c r="D8" s="5">
        <v>6.5745762711864391</v>
      </c>
      <c r="E8" s="3" t="s">
        <v>7</v>
      </c>
      <c r="F8" s="3" t="s">
        <v>11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idden="1" x14ac:dyDescent="0.25">
      <c r="A9" s="1" t="str">
        <f t="shared" si="0"/>
        <v>BL</v>
      </c>
      <c r="B9" s="1" t="s">
        <v>21</v>
      </c>
      <c r="C9" s="2">
        <v>318</v>
      </c>
      <c r="D9" s="5">
        <v>5.3</v>
      </c>
      <c r="E9" s="3" t="s">
        <v>7</v>
      </c>
      <c r="F9" s="3" t="s">
        <v>11</v>
      </c>
    </row>
    <row r="10" spans="1:16" x14ac:dyDescent="0.25">
      <c r="A10" s="1" t="str">
        <f t="shared" si="0"/>
        <v>TA</v>
      </c>
      <c r="B10" s="1" t="s">
        <v>23</v>
      </c>
      <c r="C10" s="2">
        <v>244.45</v>
      </c>
      <c r="D10" s="5">
        <v>21.632743362831857</v>
      </c>
      <c r="E10" s="3" t="s">
        <v>13</v>
      </c>
      <c r="F10" s="3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 t="str">
        <f t="shared" si="0"/>
        <v>TA</v>
      </c>
      <c r="B11" s="1" t="s">
        <v>24</v>
      </c>
      <c r="C11" s="2">
        <v>195.8</v>
      </c>
      <c r="D11" s="5">
        <v>391.6</v>
      </c>
      <c r="E11" s="3" t="s">
        <v>7</v>
      </c>
      <c r="F11" s="3" t="s">
        <v>11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 t="str">
        <f t="shared" si="0"/>
        <v>TA</v>
      </c>
      <c r="B12" s="1" t="s">
        <v>25</v>
      </c>
      <c r="C12" s="2">
        <v>150.11999999999998</v>
      </c>
      <c r="D12" s="5">
        <v>6.9823255813953464</v>
      </c>
      <c r="E12" s="3" t="s">
        <v>12</v>
      </c>
      <c r="F12" s="3" t="s">
        <v>11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 t="str">
        <f t="shared" si="0"/>
        <v>TF</v>
      </c>
      <c r="B13" s="1" t="s">
        <v>26</v>
      </c>
      <c r="C13" s="2">
        <v>139.19999999999999</v>
      </c>
      <c r="D13" s="5">
        <v>10.790697674418604</v>
      </c>
      <c r="E13" s="3" t="s">
        <v>27</v>
      </c>
      <c r="F13" s="3" t="s">
        <v>11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 t="str">
        <f t="shared" si="0"/>
        <v>TV</v>
      </c>
      <c r="B14" s="1" t="s">
        <v>28</v>
      </c>
      <c r="C14" s="2">
        <v>137.78</v>
      </c>
      <c r="D14" s="5">
        <v>72.515789473684208</v>
      </c>
      <c r="E14" s="3" t="s">
        <v>27</v>
      </c>
      <c r="F14" s="3" t="s">
        <v>11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 t="str">
        <f t="shared" si="0"/>
        <v>TV</v>
      </c>
      <c r="B15" s="1" t="s">
        <v>29</v>
      </c>
      <c r="C15" s="2">
        <v>135.9</v>
      </c>
      <c r="D15" s="5">
        <v>10.453846153846154</v>
      </c>
      <c r="E15" s="3" t="s">
        <v>27</v>
      </c>
      <c r="F15" s="3" t="s">
        <v>11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 t="str">
        <f t="shared" si="0"/>
        <v>TV</v>
      </c>
      <c r="B16" s="1" t="s">
        <v>30</v>
      </c>
      <c r="C16" s="2">
        <v>114</v>
      </c>
      <c r="D16" s="5">
        <v>5.5882352941176476</v>
      </c>
      <c r="E16" s="3" t="s">
        <v>13</v>
      </c>
      <c r="F16" s="3" t="s">
        <v>11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 t="str">
        <f t="shared" si="0"/>
        <v>TA</v>
      </c>
      <c r="B17" s="1" t="s">
        <v>31</v>
      </c>
      <c r="C17" s="2">
        <v>110.23</v>
      </c>
      <c r="D17" s="5">
        <v>367.43333333333334</v>
      </c>
      <c r="E17" s="3" t="s">
        <v>7</v>
      </c>
      <c r="F17" s="3" t="s">
        <v>11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 t="str">
        <f t="shared" si="0"/>
        <v>TA</v>
      </c>
      <c r="B18" s="1" t="s">
        <v>32</v>
      </c>
      <c r="C18" s="2">
        <v>108.1</v>
      </c>
      <c r="D18" s="5">
        <v>4.1102661596958168</v>
      </c>
      <c r="E18" s="3" t="s">
        <v>12</v>
      </c>
      <c r="F18" s="3" t="s">
        <v>11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 t="str">
        <f t="shared" si="0"/>
        <v>OT</v>
      </c>
      <c r="B19" s="1" t="s">
        <v>33</v>
      </c>
      <c r="C19" s="2">
        <v>107</v>
      </c>
      <c r="D19" s="5">
        <v>53.5</v>
      </c>
      <c r="E19" s="3" t="s">
        <v>15</v>
      </c>
      <c r="F19" s="3" t="s">
        <v>11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 t="str">
        <f t="shared" si="0"/>
        <v>TA</v>
      </c>
      <c r="B20" s="1" t="s">
        <v>34</v>
      </c>
      <c r="C20" s="2">
        <v>102.17099999999999</v>
      </c>
      <c r="D20" s="5">
        <v>8.9663010092145683</v>
      </c>
      <c r="E20" s="3" t="s">
        <v>7</v>
      </c>
      <c r="F20" s="3" t="s">
        <v>11</v>
      </c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 t="str">
        <f t="shared" si="0"/>
        <v>TF</v>
      </c>
      <c r="B21" s="1" t="s">
        <v>35</v>
      </c>
      <c r="C21" s="2">
        <v>101.4</v>
      </c>
      <c r="D21" s="5">
        <v>4.466960352422908</v>
      </c>
      <c r="E21" s="3" t="s">
        <v>13</v>
      </c>
      <c r="F21" s="3" t="s">
        <v>11</v>
      </c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 t="str">
        <f t="shared" si="0"/>
        <v>TF</v>
      </c>
      <c r="B22" s="1" t="s">
        <v>36</v>
      </c>
      <c r="C22" s="2">
        <v>100.45</v>
      </c>
      <c r="D22" s="5">
        <v>20.09</v>
      </c>
      <c r="E22" s="3" t="s">
        <v>6</v>
      </c>
      <c r="F22" s="3" t="s">
        <v>11</v>
      </c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 t="str">
        <f t="shared" si="0"/>
        <v>TA</v>
      </c>
      <c r="B23" s="1" t="s">
        <v>37</v>
      </c>
      <c r="C23" s="2">
        <v>99.910000000000011</v>
      </c>
      <c r="D23" s="5">
        <v>153.70769230769233</v>
      </c>
      <c r="E23" s="3" t="s">
        <v>20</v>
      </c>
      <c r="F23" s="3" t="s">
        <v>11</v>
      </c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 t="str">
        <f t="shared" si="0"/>
        <v>TV</v>
      </c>
      <c r="B24" s="1" t="s">
        <v>38</v>
      </c>
      <c r="C24" s="2">
        <v>99.8</v>
      </c>
      <c r="D24" s="5">
        <v>12.794871794871794</v>
      </c>
      <c r="E24" s="3" t="s">
        <v>27</v>
      </c>
      <c r="F24" s="3" t="s">
        <v>11</v>
      </c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idden="1" x14ac:dyDescent="0.25">
      <c r="A25" s="1" t="str">
        <f t="shared" si="0"/>
        <v>BL</v>
      </c>
      <c r="B25" s="1" t="s">
        <v>39</v>
      </c>
      <c r="C25" s="2">
        <v>99</v>
      </c>
      <c r="D25" s="5">
        <v>5.2105263157894735</v>
      </c>
      <c r="E25" s="3" t="s">
        <v>7</v>
      </c>
      <c r="F25" s="3" t="s">
        <v>11</v>
      </c>
    </row>
    <row r="26" spans="1:16" x14ac:dyDescent="0.25">
      <c r="A26" s="1" t="str">
        <f t="shared" si="0"/>
        <v>TD</v>
      </c>
      <c r="B26" s="1" t="s">
        <v>40</v>
      </c>
      <c r="C26" s="2">
        <v>97.28</v>
      </c>
      <c r="D26" s="5">
        <v>18.354716981132075</v>
      </c>
      <c r="E26" s="3" t="s">
        <v>8</v>
      </c>
      <c r="F26" s="3" t="s">
        <v>11</v>
      </c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 t="str">
        <f t="shared" si="0"/>
        <v>TD</v>
      </c>
      <c r="B27" s="1" t="s">
        <v>41</v>
      </c>
      <c r="C27" s="2">
        <v>84.4</v>
      </c>
      <c r="D27" s="5">
        <v>4.7150837988826826</v>
      </c>
      <c r="E27" s="3" t="s">
        <v>7</v>
      </c>
      <c r="F27" s="3" t="s">
        <v>11</v>
      </c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 t="str">
        <f t="shared" si="0"/>
        <v>TF</v>
      </c>
      <c r="B28" s="1" t="s">
        <v>43</v>
      </c>
      <c r="C28" s="2">
        <v>77</v>
      </c>
      <c r="D28" s="5">
        <v>25.496688741721854</v>
      </c>
      <c r="E28" s="3" t="s">
        <v>27</v>
      </c>
      <c r="F28" s="3" t="s">
        <v>11</v>
      </c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 t="str">
        <f t="shared" si="0"/>
        <v>TD</v>
      </c>
      <c r="B29" s="1" t="s">
        <v>45</v>
      </c>
      <c r="C29" s="2">
        <v>75</v>
      </c>
      <c r="D29" s="5">
        <v>4.5454545454545459</v>
      </c>
      <c r="E29" s="3" t="s">
        <v>18</v>
      </c>
      <c r="F29" s="3" t="s">
        <v>11</v>
      </c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 t="str">
        <f t="shared" si="0"/>
        <v>TA</v>
      </c>
      <c r="B30" s="1" t="s">
        <v>46</v>
      </c>
      <c r="C30" s="2">
        <v>73.685000000000002</v>
      </c>
      <c r="D30" s="5">
        <v>7.031011450381679</v>
      </c>
      <c r="E30" s="3" t="s">
        <v>6</v>
      </c>
      <c r="F30" s="3" t="s">
        <v>11</v>
      </c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 t="str">
        <f t="shared" si="0"/>
        <v>TV</v>
      </c>
      <c r="B31" s="1" t="s">
        <v>47</v>
      </c>
      <c r="C31" s="2">
        <v>73.650000000000006</v>
      </c>
      <c r="D31" s="5">
        <v>8.9817073170731714</v>
      </c>
      <c r="E31" s="3" t="s">
        <v>13</v>
      </c>
      <c r="F31" s="3" t="s">
        <v>11</v>
      </c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 t="str">
        <f t="shared" si="0"/>
        <v>TC</v>
      </c>
      <c r="B32" s="1" t="s">
        <v>48</v>
      </c>
      <c r="C32" s="2">
        <v>61</v>
      </c>
      <c r="D32" s="5">
        <v>4.0666666666666664</v>
      </c>
      <c r="E32" s="3" t="s">
        <v>13</v>
      </c>
      <c r="F32" s="3" t="s">
        <v>11</v>
      </c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 t="str">
        <f t="shared" si="0"/>
        <v>TV</v>
      </c>
      <c r="B33" s="1" t="s">
        <v>49</v>
      </c>
      <c r="C33" s="2">
        <v>59.199999999999996</v>
      </c>
      <c r="D33" s="5">
        <v>5.3818181818181818</v>
      </c>
      <c r="E33" s="3" t="s">
        <v>27</v>
      </c>
      <c r="F33" s="3" t="s">
        <v>11</v>
      </c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 t="str">
        <f t="shared" si="0"/>
        <v>TA</v>
      </c>
      <c r="B34" s="1" t="s">
        <v>50</v>
      </c>
      <c r="C34" s="2">
        <v>58.3</v>
      </c>
      <c r="D34" s="5">
        <v>4.4846153846153847</v>
      </c>
      <c r="E34" s="3" t="s">
        <v>7</v>
      </c>
      <c r="F34" s="3" t="s">
        <v>11</v>
      </c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 t="str">
        <f t="shared" si="0"/>
        <v>TF</v>
      </c>
      <c r="B35" s="1" t="s">
        <v>51</v>
      </c>
      <c r="C35" s="2">
        <v>58.234999999999992</v>
      </c>
      <c r="D35" s="5">
        <v>19.673986486486484</v>
      </c>
      <c r="E35" s="3" t="s">
        <v>6</v>
      </c>
      <c r="F35" s="3" t="s">
        <v>11</v>
      </c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 t="str">
        <f t="shared" si="0"/>
        <v>TA</v>
      </c>
      <c r="B36" s="1" t="s">
        <v>52</v>
      </c>
      <c r="C36" s="2">
        <v>56.29</v>
      </c>
      <c r="D36" s="5">
        <v>112.58</v>
      </c>
      <c r="E36" s="3" t="s">
        <v>7</v>
      </c>
      <c r="F36" s="3" t="s">
        <v>11</v>
      </c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 t="str">
        <f t="shared" si="0"/>
        <v>TA</v>
      </c>
      <c r="B37" s="1" t="s">
        <v>53</v>
      </c>
      <c r="C37" s="2">
        <v>56.255000000000003</v>
      </c>
      <c r="D37" s="5">
        <v>27.752836704489393</v>
      </c>
      <c r="E37" s="3" t="s">
        <v>27</v>
      </c>
      <c r="F37" s="3" t="s">
        <v>11</v>
      </c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 t="str">
        <f t="shared" si="0"/>
        <v>TF</v>
      </c>
      <c r="B38" s="1" t="s">
        <v>54</v>
      </c>
      <c r="C38" s="2">
        <v>51.2</v>
      </c>
      <c r="D38" s="5">
        <v>4.129032258064516</v>
      </c>
      <c r="E38" s="3" t="s">
        <v>27</v>
      </c>
      <c r="F38" s="3" t="s">
        <v>11</v>
      </c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 t="str">
        <f t="shared" si="0"/>
        <v>TA</v>
      </c>
      <c r="B39" s="1" t="s">
        <v>59</v>
      </c>
      <c r="C39" s="2">
        <v>47.5</v>
      </c>
      <c r="D39" s="5">
        <v>29.6875</v>
      </c>
      <c r="E39" s="3" t="s">
        <v>27</v>
      </c>
      <c r="F39" s="3" t="s">
        <v>11</v>
      </c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 t="str">
        <f t="shared" si="0"/>
        <v>TA</v>
      </c>
      <c r="B40" s="1" t="s">
        <v>60</v>
      </c>
      <c r="C40" s="2">
        <v>46.5</v>
      </c>
      <c r="D40" s="5">
        <v>9.6875</v>
      </c>
      <c r="E40" s="3" t="s">
        <v>8</v>
      </c>
      <c r="F40" s="3" t="s">
        <v>11</v>
      </c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idden="1" x14ac:dyDescent="0.25">
      <c r="A41" s="1" t="str">
        <f t="shared" si="0"/>
        <v>BL</v>
      </c>
      <c r="B41" s="1" t="s">
        <v>65</v>
      </c>
      <c r="C41" s="2">
        <v>42</v>
      </c>
      <c r="D41" s="5">
        <v>21</v>
      </c>
      <c r="E41" s="3" t="s">
        <v>7</v>
      </c>
      <c r="F41" s="3" t="s">
        <v>11</v>
      </c>
    </row>
    <row r="42" spans="1:16" x14ac:dyDescent="0.25">
      <c r="A42" s="1" t="str">
        <f t="shared" si="0"/>
        <v>TV</v>
      </c>
      <c r="B42" s="1" t="s">
        <v>67</v>
      </c>
      <c r="C42" s="2">
        <v>41.55</v>
      </c>
      <c r="D42" s="5">
        <v>8.65625</v>
      </c>
      <c r="E42" s="3" t="s">
        <v>27</v>
      </c>
      <c r="F42" s="3" t="s">
        <v>11</v>
      </c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 t="str">
        <f t="shared" si="0"/>
        <v>TD</v>
      </c>
      <c r="B43" s="1" t="s">
        <v>68</v>
      </c>
      <c r="C43" s="2">
        <v>41.15</v>
      </c>
      <c r="D43" s="5">
        <v>41.15</v>
      </c>
      <c r="E43" s="3" t="s">
        <v>18</v>
      </c>
      <c r="F43" s="3" t="s">
        <v>11</v>
      </c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 t="str">
        <f t="shared" si="0"/>
        <v>TA</v>
      </c>
      <c r="B44" s="1" t="s">
        <v>69</v>
      </c>
      <c r="C44" s="2">
        <v>40.325000000000003</v>
      </c>
      <c r="D44" s="5">
        <v>16.732365145228215</v>
      </c>
      <c r="E44" s="3" t="s">
        <v>15</v>
      </c>
      <c r="F44" s="3" t="s">
        <v>11</v>
      </c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 t="str">
        <f t="shared" si="0"/>
        <v>OT</v>
      </c>
      <c r="B45" s="1" t="s">
        <v>70</v>
      </c>
      <c r="C45" s="2">
        <v>40</v>
      </c>
      <c r="D45" s="5">
        <v>40</v>
      </c>
      <c r="E45" s="3" t="s">
        <v>15</v>
      </c>
      <c r="F45" s="3" t="s">
        <v>11</v>
      </c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 t="str">
        <f t="shared" si="0"/>
        <v>TV</v>
      </c>
      <c r="B46" s="1" t="s">
        <v>71</v>
      </c>
      <c r="C46" s="2">
        <v>40</v>
      </c>
      <c r="D46" s="5">
        <v>13.333333333333334</v>
      </c>
      <c r="E46" s="3" t="s">
        <v>18</v>
      </c>
      <c r="F46" s="3" t="s">
        <v>11</v>
      </c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 t="str">
        <f t="shared" si="0"/>
        <v>TA</v>
      </c>
      <c r="B47" s="1" t="s">
        <v>72</v>
      </c>
      <c r="C47" s="2">
        <v>39.65</v>
      </c>
      <c r="D47" s="5">
        <v>12.313664596273293</v>
      </c>
      <c r="E47" s="3" t="s">
        <v>7</v>
      </c>
      <c r="F47" s="3" t="s">
        <v>11</v>
      </c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 t="str">
        <f t="shared" si="0"/>
        <v>TF</v>
      </c>
      <c r="B48" s="1" t="s">
        <v>73</v>
      </c>
      <c r="C48" s="2">
        <v>39.505000000000003</v>
      </c>
      <c r="D48" s="5">
        <v>19.752500000000001</v>
      </c>
      <c r="E48" s="3" t="s">
        <v>27</v>
      </c>
      <c r="F48" s="3" t="s">
        <v>11</v>
      </c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idden="1" x14ac:dyDescent="0.25">
      <c r="A49" s="1" t="str">
        <f t="shared" si="0"/>
        <v>BL</v>
      </c>
      <c r="B49" s="1" t="s">
        <v>76</v>
      </c>
      <c r="C49" s="2">
        <v>38</v>
      </c>
      <c r="D49" s="5">
        <v>12.666666666666666</v>
      </c>
      <c r="E49" s="3" t="s">
        <v>18</v>
      </c>
      <c r="F49" s="3" t="s">
        <v>11</v>
      </c>
    </row>
    <row r="50" spans="1:16" x14ac:dyDescent="0.25">
      <c r="A50" s="1" t="str">
        <f t="shared" si="0"/>
        <v>OT</v>
      </c>
      <c r="B50" s="1" t="s">
        <v>77</v>
      </c>
      <c r="C50" s="2">
        <v>37</v>
      </c>
      <c r="D50" s="5">
        <v>18.5</v>
      </c>
      <c r="E50" s="3" t="s">
        <v>7</v>
      </c>
      <c r="F50" s="3" t="s">
        <v>11</v>
      </c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25">
      <c r="A51" s="1" t="str">
        <f t="shared" si="0"/>
        <v>TA</v>
      </c>
      <c r="B51" s="1" t="s">
        <v>78</v>
      </c>
      <c r="C51" s="2">
        <v>34</v>
      </c>
      <c r="D51" s="5">
        <v>5.666666666666667</v>
      </c>
      <c r="E51" s="3" t="s">
        <v>27</v>
      </c>
      <c r="F51" s="3" t="s">
        <v>11</v>
      </c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25">
      <c r="A52" s="1" t="str">
        <f t="shared" si="0"/>
        <v>OT</v>
      </c>
      <c r="B52" s="1" t="s">
        <v>81</v>
      </c>
      <c r="C52" s="2">
        <v>33</v>
      </c>
      <c r="D52" s="5">
        <v>8.25</v>
      </c>
      <c r="E52" s="3" t="s">
        <v>15</v>
      </c>
      <c r="F52" s="3" t="s">
        <v>11</v>
      </c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25">
      <c r="A53" s="1" t="str">
        <f t="shared" si="0"/>
        <v>TA</v>
      </c>
      <c r="B53" s="1" t="s">
        <v>82</v>
      </c>
      <c r="C53" s="2">
        <v>32.74</v>
      </c>
      <c r="D53" s="5">
        <v>4.3858004018754189</v>
      </c>
      <c r="E53" s="3" t="s">
        <v>18</v>
      </c>
      <c r="F53" s="3" t="s">
        <v>11</v>
      </c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idden="1" x14ac:dyDescent="0.25">
      <c r="A54" s="1" t="str">
        <f t="shared" si="0"/>
        <v>BL</v>
      </c>
      <c r="B54" s="1" t="s">
        <v>83</v>
      </c>
      <c r="C54" s="2">
        <v>32</v>
      </c>
      <c r="D54" s="5">
        <v>32</v>
      </c>
      <c r="E54" s="3" t="s">
        <v>7</v>
      </c>
      <c r="F54" s="3" t="s">
        <v>11</v>
      </c>
    </row>
    <row r="55" spans="1:16" hidden="1" x14ac:dyDescent="0.25">
      <c r="A55" s="1" t="str">
        <f t="shared" si="0"/>
        <v>BL</v>
      </c>
      <c r="B55" s="1" t="s">
        <v>84</v>
      </c>
      <c r="C55" s="2">
        <v>32</v>
      </c>
      <c r="D55" s="5">
        <v>4.5714285714285712</v>
      </c>
      <c r="E55" s="3" t="s">
        <v>18</v>
      </c>
      <c r="F55" s="3" t="s">
        <v>11</v>
      </c>
    </row>
    <row r="56" spans="1:16" x14ac:dyDescent="0.25">
      <c r="A56" s="1" t="str">
        <f t="shared" si="0"/>
        <v>OT</v>
      </c>
      <c r="B56" s="1" t="s">
        <v>85</v>
      </c>
      <c r="C56" s="2">
        <v>32</v>
      </c>
      <c r="D56" s="5">
        <v>10.666666666666666</v>
      </c>
      <c r="E56" s="3" t="s">
        <v>15</v>
      </c>
      <c r="F56" s="3" t="s">
        <v>11</v>
      </c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25">
      <c r="A57" s="1" t="str">
        <f t="shared" si="0"/>
        <v>TA</v>
      </c>
      <c r="B57" s="1" t="s">
        <v>86</v>
      </c>
      <c r="C57" s="2">
        <v>31.125</v>
      </c>
      <c r="D57" s="5">
        <v>28.555045871559631</v>
      </c>
      <c r="E57" s="3" t="s">
        <v>8</v>
      </c>
      <c r="F57" s="3" t="s">
        <v>11</v>
      </c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idden="1" x14ac:dyDescent="0.25">
      <c r="A58" s="1" t="str">
        <f t="shared" si="0"/>
        <v>BL</v>
      </c>
      <c r="B58" s="1" t="s">
        <v>87</v>
      </c>
      <c r="C58" s="2">
        <v>31</v>
      </c>
      <c r="D58" s="5">
        <v>31</v>
      </c>
      <c r="E58" s="3" t="s">
        <v>7</v>
      </c>
      <c r="F58" s="3" t="s">
        <v>11</v>
      </c>
    </row>
    <row r="59" spans="1:16" x14ac:dyDescent="0.25">
      <c r="A59" s="1" t="str">
        <f t="shared" si="0"/>
        <v>TV</v>
      </c>
      <c r="B59" s="1" t="s">
        <v>88</v>
      </c>
      <c r="C59" s="2">
        <v>30.945</v>
      </c>
      <c r="D59" s="5">
        <v>5.2271959459459465</v>
      </c>
      <c r="E59" s="3" t="s">
        <v>13</v>
      </c>
      <c r="F59" s="3" t="s">
        <v>11</v>
      </c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25">
      <c r="A60" s="1" t="str">
        <f t="shared" si="0"/>
        <v>TD</v>
      </c>
      <c r="B60" s="1" t="s">
        <v>90</v>
      </c>
      <c r="C60" s="2">
        <v>30.7</v>
      </c>
      <c r="D60" s="5">
        <v>6.6021505376344081</v>
      </c>
      <c r="E60" s="3" t="s">
        <v>18</v>
      </c>
      <c r="F60" s="3" t="s">
        <v>11</v>
      </c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25">
      <c r="A61" s="1" t="str">
        <f t="shared" si="0"/>
        <v>OT</v>
      </c>
      <c r="B61" s="1" t="s">
        <v>92</v>
      </c>
      <c r="C61" s="2">
        <v>30</v>
      </c>
      <c r="D61" s="5">
        <v>30</v>
      </c>
      <c r="E61" s="3" t="s">
        <v>7</v>
      </c>
      <c r="F61" s="3" t="s">
        <v>11</v>
      </c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25">
      <c r="A62" s="1" t="str">
        <f t="shared" si="0"/>
        <v>TD</v>
      </c>
      <c r="B62" s="1" t="s">
        <v>93</v>
      </c>
      <c r="C62" s="2">
        <v>29.2</v>
      </c>
      <c r="D62" s="5">
        <v>4.1714285714285717</v>
      </c>
      <c r="E62" s="3" t="s">
        <v>15</v>
      </c>
      <c r="F62" s="3" t="s">
        <v>11</v>
      </c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25">
      <c r="A63" s="1" t="str">
        <f t="shared" si="0"/>
        <v>TA</v>
      </c>
      <c r="B63" s="1" t="s">
        <v>94</v>
      </c>
      <c r="C63" s="2">
        <v>28.650000000000002</v>
      </c>
      <c r="D63" s="5">
        <v>73.461538461538467</v>
      </c>
      <c r="E63" s="3" t="s">
        <v>27</v>
      </c>
      <c r="F63" s="3" t="s">
        <v>11</v>
      </c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idden="1" x14ac:dyDescent="0.25">
      <c r="A64" s="1" t="str">
        <f t="shared" si="0"/>
        <v>BL</v>
      </c>
      <c r="B64" s="1" t="s">
        <v>95</v>
      </c>
      <c r="C64" s="2">
        <v>27</v>
      </c>
      <c r="D64" s="5">
        <v>13.5</v>
      </c>
      <c r="E64" s="3" t="s">
        <v>7</v>
      </c>
      <c r="F64" s="3" t="s">
        <v>11</v>
      </c>
    </row>
    <row r="65" spans="1:16" x14ac:dyDescent="0.25">
      <c r="A65" s="1" t="str">
        <f t="shared" si="0"/>
        <v>TD</v>
      </c>
      <c r="B65" s="1" t="s">
        <v>98</v>
      </c>
      <c r="C65" s="2">
        <v>25</v>
      </c>
      <c r="D65" s="5">
        <v>9.2592592592592595</v>
      </c>
      <c r="E65" s="3" t="s">
        <v>12</v>
      </c>
      <c r="F65" s="3" t="s">
        <v>11</v>
      </c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25">
      <c r="A66" s="1" t="str">
        <f t="shared" si="0"/>
        <v>TF</v>
      </c>
      <c r="B66" s="1" t="s">
        <v>100</v>
      </c>
      <c r="C66" s="2">
        <v>24.05</v>
      </c>
      <c r="D66" s="5">
        <v>14.87322201607916</v>
      </c>
      <c r="E66" s="3" t="s">
        <v>27</v>
      </c>
      <c r="F66" s="3" t="s">
        <v>11</v>
      </c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idden="1" x14ac:dyDescent="0.25">
      <c r="A67" s="1" t="str">
        <f t="shared" si="0"/>
        <v>BL</v>
      </c>
      <c r="B67" s="1" t="s">
        <v>105</v>
      </c>
      <c r="C67" s="2">
        <v>24</v>
      </c>
      <c r="D67" s="5">
        <v>12</v>
      </c>
      <c r="E67" s="3" t="s">
        <v>7</v>
      </c>
      <c r="F67" s="3" t="s">
        <v>11</v>
      </c>
    </row>
    <row r="68" spans="1:16" x14ac:dyDescent="0.25">
      <c r="A68" s="1" t="str">
        <f t="shared" si="0"/>
        <v>TA</v>
      </c>
      <c r="B68" s="1" t="s">
        <v>107</v>
      </c>
      <c r="C68" s="2">
        <v>23.45</v>
      </c>
      <c r="D68" s="5">
        <v>12.440318302387267</v>
      </c>
      <c r="E68" s="3" t="s">
        <v>18</v>
      </c>
      <c r="F68" s="3" t="s">
        <v>11</v>
      </c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25">
      <c r="A69" s="1" t="str">
        <f t="shared" si="0"/>
        <v>TA</v>
      </c>
      <c r="B69" s="1" t="s">
        <v>108</v>
      </c>
      <c r="C69" s="2">
        <v>23.07</v>
      </c>
      <c r="D69" s="5">
        <v>8.2392857142857157</v>
      </c>
      <c r="E69" s="3" t="s">
        <v>27</v>
      </c>
      <c r="F69" s="3" t="s">
        <v>11</v>
      </c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idden="1" x14ac:dyDescent="0.25">
      <c r="A70" s="1" t="str">
        <f t="shared" ref="A70:A133" si="1">LEFT(B70,2)</f>
        <v>BL</v>
      </c>
      <c r="B70" s="1" t="s">
        <v>109</v>
      </c>
      <c r="C70" s="2">
        <v>23</v>
      </c>
      <c r="D70" s="5">
        <v>11.5</v>
      </c>
      <c r="E70" s="3" t="s">
        <v>18</v>
      </c>
      <c r="F70" s="3" t="s">
        <v>11</v>
      </c>
    </row>
    <row r="71" spans="1:16" hidden="1" x14ac:dyDescent="0.25">
      <c r="A71" s="1" t="str">
        <f t="shared" si="1"/>
        <v>BL</v>
      </c>
      <c r="B71" s="1" t="s">
        <v>110</v>
      </c>
      <c r="C71" s="2">
        <v>23</v>
      </c>
      <c r="D71" s="5">
        <v>23</v>
      </c>
      <c r="E71" s="3" t="s">
        <v>7</v>
      </c>
      <c r="F71" s="3" t="s">
        <v>11</v>
      </c>
    </row>
    <row r="72" spans="1:16" x14ac:dyDescent="0.25">
      <c r="A72" s="1" t="str">
        <f t="shared" si="1"/>
        <v>OT</v>
      </c>
      <c r="B72" s="1" t="s">
        <v>111</v>
      </c>
      <c r="C72" s="2">
        <v>23</v>
      </c>
      <c r="D72" s="5">
        <v>7.666666666666667</v>
      </c>
      <c r="E72" s="3" t="s">
        <v>7</v>
      </c>
      <c r="F72" s="3" t="s">
        <v>11</v>
      </c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25">
      <c r="A73" s="1" t="str">
        <f t="shared" si="1"/>
        <v>TD</v>
      </c>
      <c r="B73" s="1" t="s">
        <v>113</v>
      </c>
      <c r="C73" s="2">
        <v>22.189999999999998</v>
      </c>
      <c r="D73" s="5">
        <v>10.086363636363634</v>
      </c>
      <c r="E73" s="3" t="s">
        <v>15</v>
      </c>
      <c r="F73" s="3" t="s">
        <v>11</v>
      </c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25">
      <c r="A74" s="1" t="str">
        <f t="shared" si="1"/>
        <v>OT</v>
      </c>
      <c r="B74" s="1" t="s">
        <v>114</v>
      </c>
      <c r="C74" s="2">
        <v>22</v>
      </c>
      <c r="D74" s="5">
        <v>22</v>
      </c>
      <c r="E74" s="3" t="s">
        <v>15</v>
      </c>
      <c r="F74" s="3" t="s">
        <v>11</v>
      </c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25">
      <c r="A75" s="1" t="str">
        <f t="shared" si="1"/>
        <v>TA</v>
      </c>
      <c r="B75" s="1" t="s">
        <v>115</v>
      </c>
      <c r="C75" s="2">
        <v>21.855</v>
      </c>
      <c r="D75" s="5">
        <v>8.1245353159851295</v>
      </c>
      <c r="E75" s="3" t="s">
        <v>13</v>
      </c>
      <c r="F75" s="3" t="s">
        <v>11</v>
      </c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idden="1" x14ac:dyDescent="0.25">
      <c r="A76" s="1" t="str">
        <f t="shared" si="1"/>
        <v>BL</v>
      </c>
      <c r="B76" s="1" t="s">
        <v>117</v>
      </c>
      <c r="C76" s="2">
        <v>21</v>
      </c>
      <c r="D76" s="5">
        <v>5.25</v>
      </c>
      <c r="E76" s="3" t="s">
        <v>18</v>
      </c>
      <c r="F76" s="3" t="s">
        <v>11</v>
      </c>
    </row>
    <row r="77" spans="1:16" x14ac:dyDescent="0.25">
      <c r="A77" s="1" t="str">
        <f t="shared" si="1"/>
        <v>TA</v>
      </c>
      <c r="B77" s="1" t="s">
        <v>118</v>
      </c>
      <c r="C77" s="2">
        <v>20.399999999999999</v>
      </c>
      <c r="D77" s="5">
        <v>7.0344827586206895</v>
      </c>
      <c r="E77" s="3" t="s">
        <v>18</v>
      </c>
      <c r="F77" s="3" t="s">
        <v>11</v>
      </c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25">
      <c r="A78" s="1" t="str">
        <f t="shared" si="1"/>
        <v>TA</v>
      </c>
      <c r="B78" s="1" t="s">
        <v>119</v>
      </c>
      <c r="C78" s="2">
        <v>20.285</v>
      </c>
      <c r="D78" s="5">
        <v>9.2204545454545439</v>
      </c>
      <c r="E78" s="3" t="s">
        <v>18</v>
      </c>
      <c r="F78" s="3" t="s">
        <v>11</v>
      </c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idden="1" x14ac:dyDescent="0.25">
      <c r="A79" s="1" t="str">
        <f t="shared" si="1"/>
        <v>BL</v>
      </c>
      <c r="B79" s="1" t="s">
        <v>120</v>
      </c>
      <c r="C79" s="2">
        <v>20</v>
      </c>
      <c r="D79" s="5">
        <v>10</v>
      </c>
      <c r="E79" s="3" t="s">
        <v>18</v>
      </c>
      <c r="F79" s="3" t="s">
        <v>11</v>
      </c>
    </row>
    <row r="80" spans="1:16" x14ac:dyDescent="0.25">
      <c r="A80" s="1" t="str">
        <f t="shared" si="1"/>
        <v>OT</v>
      </c>
      <c r="B80" s="1" t="s">
        <v>121</v>
      </c>
      <c r="C80" s="2">
        <v>20</v>
      </c>
      <c r="D80" s="5">
        <v>4</v>
      </c>
      <c r="E80" s="3" t="s">
        <v>7</v>
      </c>
      <c r="F80" s="3" t="s">
        <v>11</v>
      </c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x14ac:dyDescent="0.25">
      <c r="A81" s="1" t="str">
        <f t="shared" si="1"/>
        <v>OT</v>
      </c>
      <c r="B81" s="1" t="s">
        <v>122</v>
      </c>
      <c r="C81" s="2">
        <v>20</v>
      </c>
      <c r="D81" s="5">
        <v>5</v>
      </c>
      <c r="E81" s="3" t="s">
        <v>7</v>
      </c>
      <c r="F81" s="3" t="s">
        <v>11</v>
      </c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x14ac:dyDescent="0.25">
      <c r="A82" s="1" t="str">
        <f t="shared" si="1"/>
        <v>OT</v>
      </c>
      <c r="B82" s="1" t="s">
        <v>123</v>
      </c>
      <c r="C82" s="2">
        <v>20</v>
      </c>
      <c r="D82" s="5">
        <v>10</v>
      </c>
      <c r="E82" s="3" t="s">
        <v>7</v>
      </c>
      <c r="F82" s="3" t="s">
        <v>11</v>
      </c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x14ac:dyDescent="0.25">
      <c r="A83" s="1" t="str">
        <f t="shared" si="1"/>
        <v>TC</v>
      </c>
      <c r="B83" s="1" t="s">
        <v>125</v>
      </c>
      <c r="C83" s="2">
        <v>19</v>
      </c>
      <c r="D83" s="5">
        <v>4.75</v>
      </c>
      <c r="E83" s="3" t="s">
        <v>8</v>
      </c>
      <c r="F83" s="3" t="s">
        <v>11</v>
      </c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x14ac:dyDescent="0.25">
      <c r="A84" s="1" t="str">
        <f t="shared" si="1"/>
        <v>OT</v>
      </c>
      <c r="B84" s="1" t="s">
        <v>129</v>
      </c>
      <c r="C84" s="2">
        <v>18</v>
      </c>
      <c r="D84" s="5">
        <v>9</v>
      </c>
      <c r="E84" s="3" t="s">
        <v>15</v>
      </c>
      <c r="F84" s="3" t="s">
        <v>11</v>
      </c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x14ac:dyDescent="0.25">
      <c r="A85" s="1" t="str">
        <f t="shared" si="1"/>
        <v>TD</v>
      </c>
      <c r="B85" s="1" t="s">
        <v>130</v>
      </c>
      <c r="C85" s="2">
        <v>18</v>
      </c>
      <c r="D85" s="5">
        <v>9</v>
      </c>
      <c r="E85" s="3" t="s">
        <v>18</v>
      </c>
      <c r="F85" s="3" t="s">
        <v>11</v>
      </c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x14ac:dyDescent="0.25">
      <c r="A86" s="1" t="str">
        <f t="shared" si="1"/>
        <v>TA</v>
      </c>
      <c r="B86" s="1" t="s">
        <v>131</v>
      </c>
      <c r="C86" s="2">
        <v>17.149999999999999</v>
      </c>
      <c r="D86" s="5">
        <v>11.100323624595468</v>
      </c>
      <c r="E86" s="3" t="s">
        <v>15</v>
      </c>
      <c r="F86" s="3" t="s">
        <v>11</v>
      </c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idden="1" x14ac:dyDescent="0.25">
      <c r="A87" s="1" t="str">
        <f t="shared" si="1"/>
        <v>BL</v>
      </c>
      <c r="B87" s="1" t="s">
        <v>132</v>
      </c>
      <c r="C87" s="2">
        <v>17</v>
      </c>
      <c r="D87" s="5">
        <v>8.5</v>
      </c>
      <c r="E87" s="3" t="s">
        <v>9</v>
      </c>
      <c r="F87" s="3" t="s">
        <v>11</v>
      </c>
    </row>
    <row r="88" spans="1:16" x14ac:dyDescent="0.25">
      <c r="A88" s="1" t="str">
        <f t="shared" si="1"/>
        <v>OT</v>
      </c>
      <c r="B88" s="1" t="s">
        <v>133</v>
      </c>
      <c r="C88" s="2">
        <v>17</v>
      </c>
      <c r="D88" s="5">
        <v>17</v>
      </c>
      <c r="E88" s="3" t="s">
        <v>7</v>
      </c>
      <c r="F88" s="3" t="s">
        <v>11</v>
      </c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idden="1" x14ac:dyDescent="0.25">
      <c r="A89" s="1" t="str">
        <f t="shared" si="1"/>
        <v>BL</v>
      </c>
      <c r="B89" s="1" t="s">
        <v>135</v>
      </c>
      <c r="C89" s="2">
        <v>16</v>
      </c>
      <c r="D89" s="5">
        <v>5.333333333333333</v>
      </c>
      <c r="E89" s="3" t="s">
        <v>15</v>
      </c>
      <c r="F89" s="3" t="s">
        <v>11</v>
      </c>
    </row>
    <row r="90" spans="1:16" hidden="1" x14ac:dyDescent="0.25">
      <c r="A90" s="1" t="str">
        <f t="shared" si="1"/>
        <v>BL</v>
      </c>
      <c r="B90" s="1" t="s">
        <v>138</v>
      </c>
      <c r="C90" s="2">
        <v>16</v>
      </c>
      <c r="D90" s="5">
        <v>8</v>
      </c>
      <c r="E90" s="3" t="s">
        <v>18</v>
      </c>
      <c r="F90" s="3" t="s">
        <v>11</v>
      </c>
    </row>
    <row r="91" spans="1:16" hidden="1" x14ac:dyDescent="0.25">
      <c r="A91" s="1" t="str">
        <f t="shared" si="1"/>
        <v>BL</v>
      </c>
      <c r="B91" s="1" t="s">
        <v>139</v>
      </c>
      <c r="C91" s="2">
        <v>16</v>
      </c>
      <c r="D91" s="5">
        <v>5.333333333333333</v>
      </c>
      <c r="E91" s="3" t="s">
        <v>18</v>
      </c>
      <c r="F91" s="3" t="s">
        <v>11</v>
      </c>
    </row>
    <row r="92" spans="1:16" x14ac:dyDescent="0.25">
      <c r="A92" s="1" t="str">
        <f t="shared" si="1"/>
        <v>OT</v>
      </c>
      <c r="B92" s="1" t="s">
        <v>140</v>
      </c>
      <c r="C92" s="2">
        <v>16</v>
      </c>
      <c r="D92" s="5">
        <v>5.333333333333333</v>
      </c>
      <c r="E92" s="3" t="s">
        <v>15</v>
      </c>
      <c r="F92" s="3" t="s">
        <v>11</v>
      </c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x14ac:dyDescent="0.25">
      <c r="A93" s="1" t="str">
        <f t="shared" si="1"/>
        <v>OT</v>
      </c>
      <c r="B93" s="1" t="s">
        <v>141</v>
      </c>
      <c r="C93" s="2">
        <v>16</v>
      </c>
      <c r="D93" s="5">
        <v>4</v>
      </c>
      <c r="E93" s="3" t="s">
        <v>7</v>
      </c>
      <c r="F93" s="3" t="s">
        <v>11</v>
      </c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x14ac:dyDescent="0.25">
      <c r="A94" s="1" t="str">
        <f t="shared" si="1"/>
        <v>OT</v>
      </c>
      <c r="B94" s="1" t="s">
        <v>142</v>
      </c>
      <c r="C94" s="2">
        <v>16</v>
      </c>
      <c r="D94" s="5">
        <v>4</v>
      </c>
      <c r="E94" s="3" t="s">
        <v>7</v>
      </c>
      <c r="F94" s="3" t="s">
        <v>11</v>
      </c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x14ac:dyDescent="0.25">
      <c r="A95" s="1" t="str">
        <f t="shared" si="1"/>
        <v>OT</v>
      </c>
      <c r="B95" s="1" t="s">
        <v>143</v>
      </c>
      <c r="C95" s="2">
        <v>16</v>
      </c>
      <c r="D95" s="5">
        <v>5.333333333333333</v>
      </c>
      <c r="E95" s="3" t="s">
        <v>7</v>
      </c>
      <c r="F95" s="3" t="s">
        <v>11</v>
      </c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x14ac:dyDescent="0.25">
      <c r="A96" s="1" t="str">
        <f t="shared" si="1"/>
        <v>TA</v>
      </c>
      <c r="B96" s="1" t="s">
        <v>144</v>
      </c>
      <c r="C96" s="2">
        <v>15.86</v>
      </c>
      <c r="D96" s="5">
        <v>19.824999999999999</v>
      </c>
      <c r="E96" s="3" t="s">
        <v>13</v>
      </c>
      <c r="F96" s="3" t="s">
        <v>11</v>
      </c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idden="1" x14ac:dyDescent="0.25">
      <c r="A97" s="1" t="str">
        <f t="shared" si="1"/>
        <v>BL</v>
      </c>
      <c r="B97" s="1" t="s">
        <v>151</v>
      </c>
      <c r="C97" s="2">
        <v>14</v>
      </c>
      <c r="D97" s="5">
        <v>7</v>
      </c>
      <c r="E97" s="3" t="s">
        <v>15</v>
      </c>
      <c r="F97" s="3" t="s">
        <v>11</v>
      </c>
    </row>
    <row r="98" spans="1:16" x14ac:dyDescent="0.25">
      <c r="A98" s="1" t="str">
        <f t="shared" si="1"/>
        <v>OT</v>
      </c>
      <c r="B98" s="1" t="s">
        <v>152</v>
      </c>
      <c r="C98" s="2">
        <v>14</v>
      </c>
      <c r="D98" s="5">
        <v>14</v>
      </c>
      <c r="E98" s="3" t="s">
        <v>7</v>
      </c>
      <c r="F98" s="3" t="s">
        <v>11</v>
      </c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idden="1" x14ac:dyDescent="0.25">
      <c r="A99" s="1" t="str">
        <f t="shared" si="1"/>
        <v>BL</v>
      </c>
      <c r="B99" s="1" t="s">
        <v>154</v>
      </c>
      <c r="C99" s="2">
        <v>13</v>
      </c>
      <c r="D99" s="5">
        <v>13</v>
      </c>
      <c r="E99" s="3" t="s">
        <v>18</v>
      </c>
      <c r="F99" s="3" t="s">
        <v>11</v>
      </c>
    </row>
    <row r="100" spans="1:16" x14ac:dyDescent="0.25">
      <c r="A100" s="1" t="str">
        <f t="shared" si="1"/>
        <v>TA</v>
      </c>
      <c r="B100" s="1" t="s">
        <v>155</v>
      </c>
      <c r="C100" s="2">
        <v>12.64</v>
      </c>
      <c r="D100" s="5">
        <v>26.893617021276597</v>
      </c>
      <c r="E100" s="3" t="s">
        <v>18</v>
      </c>
      <c r="F100" s="3" t="s">
        <v>11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idden="1" x14ac:dyDescent="0.25">
      <c r="A101" s="1" t="str">
        <f t="shared" si="1"/>
        <v>BL</v>
      </c>
      <c r="B101" s="1" t="s">
        <v>159</v>
      </c>
      <c r="C101" s="2">
        <v>12</v>
      </c>
      <c r="D101" s="5">
        <v>6</v>
      </c>
      <c r="E101" s="3" t="s">
        <v>18</v>
      </c>
      <c r="F101" s="3" t="s">
        <v>11</v>
      </c>
    </row>
    <row r="102" spans="1:16" hidden="1" x14ac:dyDescent="0.25">
      <c r="A102" s="1" t="str">
        <f t="shared" si="1"/>
        <v>BL</v>
      </c>
      <c r="B102" s="1" t="s">
        <v>160</v>
      </c>
      <c r="C102" s="2">
        <v>12</v>
      </c>
      <c r="D102" s="5">
        <v>4</v>
      </c>
      <c r="E102" s="3" t="s">
        <v>7</v>
      </c>
      <c r="F102" s="3" t="s">
        <v>11</v>
      </c>
    </row>
    <row r="103" spans="1:16" hidden="1" x14ac:dyDescent="0.25">
      <c r="A103" s="1" t="str">
        <f t="shared" si="1"/>
        <v>BL</v>
      </c>
      <c r="B103" s="1" t="s">
        <v>161</v>
      </c>
      <c r="C103" s="2">
        <v>12</v>
      </c>
      <c r="D103" s="5">
        <v>6</v>
      </c>
      <c r="E103" s="3" t="s">
        <v>18</v>
      </c>
      <c r="F103" s="3" t="s">
        <v>11</v>
      </c>
    </row>
    <row r="104" spans="1:16" hidden="1" x14ac:dyDescent="0.25">
      <c r="A104" s="1" t="str">
        <f t="shared" si="1"/>
        <v>BL</v>
      </c>
      <c r="B104" s="1" t="s">
        <v>162</v>
      </c>
      <c r="C104" s="2">
        <v>12</v>
      </c>
      <c r="D104" s="5">
        <v>12</v>
      </c>
      <c r="E104" s="3" t="s">
        <v>18</v>
      </c>
      <c r="F104" s="3" t="s">
        <v>11</v>
      </c>
    </row>
    <row r="105" spans="1:16" hidden="1" x14ac:dyDescent="0.25">
      <c r="A105" s="1" t="str">
        <f t="shared" si="1"/>
        <v>BL</v>
      </c>
      <c r="B105" s="1" t="s">
        <v>165</v>
      </c>
      <c r="C105" s="2">
        <v>11</v>
      </c>
      <c r="D105" s="5">
        <v>5.5</v>
      </c>
      <c r="E105" s="3" t="s">
        <v>15</v>
      </c>
      <c r="F105" s="3" t="s">
        <v>11</v>
      </c>
    </row>
    <row r="106" spans="1:16" x14ac:dyDescent="0.25">
      <c r="A106" s="1" t="str">
        <f t="shared" si="1"/>
        <v>TA</v>
      </c>
      <c r="B106" s="1" t="s">
        <v>167</v>
      </c>
      <c r="C106" s="2">
        <v>10.8</v>
      </c>
      <c r="D106" s="5">
        <v>4.1538461538461542</v>
      </c>
      <c r="E106" s="3" t="s">
        <v>17</v>
      </c>
      <c r="F106" s="3" t="s">
        <v>11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x14ac:dyDescent="0.25">
      <c r="A107" s="1" t="str">
        <f t="shared" si="1"/>
        <v>TV</v>
      </c>
      <c r="B107" s="1" t="s">
        <v>169</v>
      </c>
      <c r="C107" s="2">
        <v>10.55</v>
      </c>
      <c r="D107" s="5">
        <v>6.1159420289855078</v>
      </c>
      <c r="E107" s="3" t="s">
        <v>13</v>
      </c>
      <c r="F107" s="3" t="s">
        <v>11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idden="1" x14ac:dyDescent="0.25">
      <c r="A108" s="1" t="str">
        <f t="shared" si="1"/>
        <v>BL</v>
      </c>
      <c r="B108" s="1" t="s">
        <v>171</v>
      </c>
      <c r="C108" s="2">
        <v>10</v>
      </c>
      <c r="D108" s="5">
        <v>5</v>
      </c>
      <c r="E108" s="3" t="s">
        <v>7</v>
      </c>
      <c r="F108" s="3" t="s">
        <v>11</v>
      </c>
    </row>
    <row r="109" spans="1:16" hidden="1" x14ac:dyDescent="0.25">
      <c r="A109" s="1" t="str">
        <f t="shared" si="1"/>
        <v>BL</v>
      </c>
      <c r="B109" s="1" t="s">
        <v>173</v>
      </c>
      <c r="C109" s="2">
        <v>10</v>
      </c>
      <c r="D109" s="5">
        <v>10</v>
      </c>
      <c r="E109" s="3" t="s">
        <v>18</v>
      </c>
      <c r="F109" s="3" t="s">
        <v>11</v>
      </c>
    </row>
    <row r="110" spans="1:16" hidden="1" x14ac:dyDescent="0.25">
      <c r="A110" s="1" t="str">
        <f t="shared" si="1"/>
        <v>BL</v>
      </c>
      <c r="B110" s="1" t="s">
        <v>175</v>
      </c>
      <c r="C110" s="2">
        <v>10</v>
      </c>
      <c r="D110" s="5">
        <v>10</v>
      </c>
      <c r="E110" s="3" t="s">
        <v>7</v>
      </c>
      <c r="F110" s="3" t="s">
        <v>11</v>
      </c>
    </row>
    <row r="111" spans="1:16" hidden="1" x14ac:dyDescent="0.25">
      <c r="A111" s="1" t="str">
        <f t="shared" si="1"/>
        <v>BL</v>
      </c>
      <c r="B111" s="1" t="s">
        <v>176</v>
      </c>
      <c r="C111" s="2">
        <v>10</v>
      </c>
      <c r="D111" s="5">
        <v>10</v>
      </c>
      <c r="E111" s="3" t="s">
        <v>18</v>
      </c>
      <c r="F111" s="3" t="s">
        <v>11</v>
      </c>
    </row>
    <row r="112" spans="1:16" x14ac:dyDescent="0.25">
      <c r="A112" s="1" t="str">
        <f t="shared" si="1"/>
        <v>PV</v>
      </c>
      <c r="B112" s="1" t="s">
        <v>178</v>
      </c>
      <c r="C112" s="2">
        <v>10</v>
      </c>
      <c r="D112" s="5">
        <v>5</v>
      </c>
      <c r="E112" s="3" t="s">
        <v>18</v>
      </c>
      <c r="F112" s="3" t="s">
        <v>11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x14ac:dyDescent="0.25">
      <c r="A113" s="1" t="str">
        <f t="shared" si="1"/>
        <v>TC</v>
      </c>
      <c r="B113" s="1" t="s">
        <v>179</v>
      </c>
      <c r="C113" s="2">
        <v>10</v>
      </c>
      <c r="D113" s="5">
        <v>10</v>
      </c>
      <c r="E113" s="3" t="s">
        <v>18</v>
      </c>
      <c r="F113" s="3" t="s">
        <v>11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x14ac:dyDescent="0.25">
      <c r="A114" s="1" t="str">
        <f t="shared" si="1"/>
        <v>TF</v>
      </c>
      <c r="B114" s="1" t="s">
        <v>180</v>
      </c>
      <c r="C114" s="2">
        <v>9.75</v>
      </c>
      <c r="D114" s="5">
        <v>6.5</v>
      </c>
      <c r="E114" s="3" t="s">
        <v>27</v>
      </c>
      <c r="F114" s="3" t="s">
        <v>11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x14ac:dyDescent="0.25">
      <c r="A115" s="1" t="str">
        <f t="shared" si="1"/>
        <v>OT</v>
      </c>
      <c r="B115" s="1" t="s">
        <v>183</v>
      </c>
      <c r="C115" s="2">
        <v>9</v>
      </c>
      <c r="D115" s="5">
        <v>9</v>
      </c>
      <c r="E115" s="3" t="s">
        <v>7</v>
      </c>
      <c r="F115" s="3" t="s">
        <v>11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x14ac:dyDescent="0.25">
      <c r="A116" s="1" t="str">
        <f t="shared" si="1"/>
        <v>OT</v>
      </c>
      <c r="B116" s="1" t="s">
        <v>184</v>
      </c>
      <c r="C116" s="2">
        <v>9</v>
      </c>
      <c r="D116" s="5">
        <v>4.5</v>
      </c>
      <c r="E116" s="3" t="s">
        <v>15</v>
      </c>
      <c r="F116" s="3" t="s">
        <v>11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x14ac:dyDescent="0.25">
      <c r="A117" s="1" t="str">
        <f t="shared" si="1"/>
        <v>OT</v>
      </c>
      <c r="B117" s="1" t="s">
        <v>185</v>
      </c>
      <c r="C117" s="2">
        <v>9</v>
      </c>
      <c r="D117" s="5">
        <v>9</v>
      </c>
      <c r="E117" s="3" t="s">
        <v>7</v>
      </c>
      <c r="F117" s="3" t="s">
        <v>11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x14ac:dyDescent="0.25">
      <c r="A118" s="1" t="str">
        <f t="shared" si="1"/>
        <v>OT</v>
      </c>
      <c r="B118" s="1" t="s">
        <v>186</v>
      </c>
      <c r="C118" s="2">
        <v>9</v>
      </c>
      <c r="D118" s="5">
        <v>4.5</v>
      </c>
      <c r="E118" s="3" t="s">
        <v>15</v>
      </c>
      <c r="F118" s="3" t="s">
        <v>11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x14ac:dyDescent="0.25">
      <c r="A119" s="1" t="str">
        <f t="shared" si="1"/>
        <v>OT</v>
      </c>
      <c r="B119" s="1" t="s">
        <v>187</v>
      </c>
      <c r="C119" s="2">
        <v>9</v>
      </c>
      <c r="D119" s="5">
        <v>9</v>
      </c>
      <c r="E119" s="3" t="s">
        <v>18</v>
      </c>
      <c r="F119" s="3" t="s">
        <v>11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x14ac:dyDescent="0.25">
      <c r="A120" s="1" t="str">
        <f t="shared" si="1"/>
        <v>OT</v>
      </c>
      <c r="B120" s="1" t="s">
        <v>188</v>
      </c>
      <c r="C120" s="2">
        <v>9</v>
      </c>
      <c r="D120" s="5">
        <v>9</v>
      </c>
      <c r="E120" s="3" t="s">
        <v>15</v>
      </c>
      <c r="F120" s="3" t="s">
        <v>11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x14ac:dyDescent="0.25">
      <c r="A121" s="1" t="str">
        <f t="shared" si="1"/>
        <v>PV</v>
      </c>
      <c r="B121" s="1" t="s">
        <v>189</v>
      </c>
      <c r="C121" s="2">
        <v>9</v>
      </c>
      <c r="D121" s="5">
        <v>4.5</v>
      </c>
      <c r="E121" s="3" t="s">
        <v>18</v>
      </c>
      <c r="F121" s="3" t="s">
        <v>11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x14ac:dyDescent="0.25">
      <c r="A122" s="1" t="str">
        <f t="shared" si="1"/>
        <v>TC</v>
      </c>
      <c r="B122" s="1" t="s">
        <v>190</v>
      </c>
      <c r="C122" s="2">
        <v>9</v>
      </c>
      <c r="D122" s="5">
        <v>4.5</v>
      </c>
      <c r="E122" s="3" t="s">
        <v>18</v>
      </c>
      <c r="F122" s="3" t="s">
        <v>11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x14ac:dyDescent="0.25">
      <c r="A123" s="1" t="str">
        <f t="shared" si="1"/>
        <v>TA</v>
      </c>
      <c r="B123" s="1" t="s">
        <v>194</v>
      </c>
      <c r="C123" s="2">
        <v>8.35</v>
      </c>
      <c r="D123" s="5">
        <v>5.5666666666666664</v>
      </c>
      <c r="E123" s="3" t="s">
        <v>18</v>
      </c>
      <c r="F123" s="3" t="s">
        <v>11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idden="1" x14ac:dyDescent="0.25">
      <c r="A124" s="1" t="str">
        <f t="shared" si="1"/>
        <v>BL</v>
      </c>
      <c r="B124" s="1" t="s">
        <v>196</v>
      </c>
      <c r="C124" s="2">
        <v>8</v>
      </c>
      <c r="D124" s="5">
        <v>4</v>
      </c>
      <c r="E124" s="3" t="s">
        <v>6</v>
      </c>
      <c r="F124" s="3" t="s">
        <v>11</v>
      </c>
    </row>
    <row r="125" spans="1:16" hidden="1" x14ac:dyDescent="0.25">
      <c r="A125" s="1" t="str">
        <f t="shared" si="1"/>
        <v>BL</v>
      </c>
      <c r="B125" s="1" t="s">
        <v>198</v>
      </c>
      <c r="C125" s="2">
        <v>8</v>
      </c>
      <c r="D125" s="5">
        <v>8</v>
      </c>
      <c r="E125" s="3" t="s">
        <v>18</v>
      </c>
      <c r="F125" s="3" t="s">
        <v>11</v>
      </c>
    </row>
    <row r="126" spans="1:16" x14ac:dyDescent="0.25">
      <c r="A126" s="1" t="str">
        <f t="shared" si="1"/>
        <v>TC</v>
      </c>
      <c r="B126" s="1" t="s">
        <v>203</v>
      </c>
      <c r="C126" s="2">
        <v>8</v>
      </c>
      <c r="D126" s="5">
        <v>4</v>
      </c>
      <c r="E126" s="3" t="s">
        <v>18</v>
      </c>
      <c r="F126" s="3" t="s">
        <v>11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x14ac:dyDescent="0.25">
      <c r="A127" s="1" t="str">
        <f t="shared" si="1"/>
        <v>TC</v>
      </c>
      <c r="B127" s="1" t="s">
        <v>204</v>
      </c>
      <c r="C127" s="2">
        <v>8</v>
      </c>
      <c r="D127" s="5">
        <v>8</v>
      </c>
      <c r="E127" s="3" t="s">
        <v>18</v>
      </c>
      <c r="F127" s="3" t="s">
        <v>11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x14ac:dyDescent="0.25">
      <c r="A128" s="1" t="str">
        <f t="shared" si="1"/>
        <v>TA</v>
      </c>
      <c r="B128" s="1" t="s">
        <v>207</v>
      </c>
      <c r="C128" s="2">
        <v>7.47</v>
      </c>
      <c r="D128" s="5">
        <v>13.833333333333332</v>
      </c>
      <c r="E128" s="3" t="s">
        <v>13</v>
      </c>
      <c r="F128" s="3" t="s">
        <v>11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idden="1" x14ac:dyDescent="0.25">
      <c r="A129" s="1" t="str">
        <f t="shared" si="1"/>
        <v>BL</v>
      </c>
      <c r="B129" s="1" t="s">
        <v>212</v>
      </c>
      <c r="C129" s="2">
        <v>7</v>
      </c>
      <c r="D129" s="5">
        <v>7</v>
      </c>
      <c r="E129" s="3" t="s">
        <v>7</v>
      </c>
      <c r="F129" s="3" t="s">
        <v>11</v>
      </c>
    </row>
    <row r="130" spans="1:16" hidden="1" x14ac:dyDescent="0.25">
      <c r="A130" s="1" t="str">
        <f t="shared" si="1"/>
        <v>BL</v>
      </c>
      <c r="B130" s="1" t="s">
        <v>213</v>
      </c>
      <c r="C130" s="2">
        <v>7</v>
      </c>
      <c r="D130" s="5">
        <v>7</v>
      </c>
      <c r="E130" s="3" t="s">
        <v>18</v>
      </c>
      <c r="F130" s="3" t="s">
        <v>11</v>
      </c>
    </row>
    <row r="131" spans="1:16" x14ac:dyDescent="0.25">
      <c r="A131" s="1" t="str">
        <f t="shared" si="1"/>
        <v>PV</v>
      </c>
      <c r="B131" s="1" t="s">
        <v>216</v>
      </c>
      <c r="C131" s="2">
        <v>7</v>
      </c>
      <c r="D131" s="5">
        <v>7</v>
      </c>
      <c r="E131" s="3" t="s">
        <v>12</v>
      </c>
      <c r="F131" s="3" t="s">
        <v>11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idden="1" x14ac:dyDescent="0.25">
      <c r="A132" s="1" t="str">
        <f t="shared" si="1"/>
        <v>BL</v>
      </c>
      <c r="B132" s="1" t="s">
        <v>231</v>
      </c>
      <c r="C132" s="2">
        <v>5</v>
      </c>
      <c r="D132" s="5">
        <v>5</v>
      </c>
      <c r="E132" s="3" t="s">
        <v>7</v>
      </c>
      <c r="F132" s="3" t="s">
        <v>11</v>
      </c>
    </row>
    <row r="133" spans="1:16" hidden="1" x14ac:dyDescent="0.25">
      <c r="A133" s="1" t="str">
        <f t="shared" si="1"/>
        <v>BL</v>
      </c>
      <c r="B133" s="1" t="s">
        <v>233</v>
      </c>
      <c r="C133" s="2">
        <v>5</v>
      </c>
      <c r="D133" s="5">
        <v>5</v>
      </c>
      <c r="E133" s="3" t="s">
        <v>6</v>
      </c>
      <c r="F133" s="3" t="s">
        <v>11</v>
      </c>
    </row>
    <row r="134" spans="1:16" x14ac:dyDescent="0.25">
      <c r="A134" s="1" t="str">
        <f t="shared" ref="A134:A197" si="2">LEFT(B134,2)</f>
        <v>OT</v>
      </c>
      <c r="B134" s="1" t="s">
        <v>239</v>
      </c>
      <c r="C134" s="2">
        <v>5</v>
      </c>
      <c r="D134" s="5">
        <v>5</v>
      </c>
      <c r="E134" s="3" t="s">
        <v>7</v>
      </c>
      <c r="F134" s="3" t="s">
        <v>11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x14ac:dyDescent="0.25">
      <c r="A135" s="1" t="str">
        <f t="shared" si="2"/>
        <v>OT</v>
      </c>
      <c r="B135" s="1" t="s">
        <v>241</v>
      </c>
      <c r="C135" s="2">
        <v>5</v>
      </c>
      <c r="D135" s="5">
        <v>5</v>
      </c>
      <c r="E135" s="3" t="s">
        <v>7</v>
      </c>
      <c r="F135" s="3" t="s">
        <v>11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x14ac:dyDescent="0.25">
      <c r="A136" s="1" t="str">
        <f t="shared" si="2"/>
        <v>TC</v>
      </c>
      <c r="B136" s="1" t="s">
        <v>243</v>
      </c>
      <c r="C136" s="2">
        <v>5</v>
      </c>
      <c r="D136" s="5">
        <v>5</v>
      </c>
      <c r="E136" s="3" t="s">
        <v>13</v>
      </c>
      <c r="F136" s="3" t="s">
        <v>11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x14ac:dyDescent="0.25">
      <c r="A137" s="1" t="str">
        <f t="shared" si="2"/>
        <v>TA</v>
      </c>
      <c r="B137" s="1" t="s">
        <v>249</v>
      </c>
      <c r="C137" s="2">
        <v>4.34</v>
      </c>
      <c r="D137" s="5">
        <v>4.5684210526315789</v>
      </c>
      <c r="E137" s="3" t="s">
        <v>13</v>
      </c>
      <c r="F137" s="3" t="s">
        <v>11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idden="1" x14ac:dyDescent="0.25">
      <c r="A138" s="1" t="str">
        <f t="shared" si="2"/>
        <v>BL</v>
      </c>
      <c r="B138" s="1" t="s">
        <v>250</v>
      </c>
      <c r="C138" s="2">
        <v>4</v>
      </c>
      <c r="D138" s="5">
        <v>4</v>
      </c>
      <c r="E138" s="3" t="s">
        <v>18</v>
      </c>
      <c r="F138" s="3" t="s">
        <v>11</v>
      </c>
    </row>
    <row r="139" spans="1:16" hidden="1" x14ac:dyDescent="0.25">
      <c r="A139" s="1" t="str">
        <f t="shared" si="2"/>
        <v>BL</v>
      </c>
      <c r="B139" s="1" t="s">
        <v>259</v>
      </c>
      <c r="C139" s="2">
        <v>4</v>
      </c>
      <c r="D139" s="5">
        <v>4</v>
      </c>
      <c r="E139" s="3" t="s">
        <v>7</v>
      </c>
      <c r="F139" s="3" t="s">
        <v>11</v>
      </c>
    </row>
    <row r="140" spans="1:16" hidden="1" x14ac:dyDescent="0.25">
      <c r="A140" s="1" t="str">
        <f t="shared" si="2"/>
        <v>BL</v>
      </c>
      <c r="B140" s="1" t="s">
        <v>260</v>
      </c>
      <c r="C140" s="2">
        <v>4</v>
      </c>
      <c r="D140" s="5">
        <v>4</v>
      </c>
      <c r="E140" s="3" t="s">
        <v>7</v>
      </c>
      <c r="F140" s="3" t="s">
        <v>11</v>
      </c>
    </row>
    <row r="141" spans="1:16" x14ac:dyDescent="0.25">
      <c r="A141" s="1" t="str">
        <f t="shared" si="2"/>
        <v>OT</v>
      </c>
      <c r="B141" s="1" t="s">
        <v>263</v>
      </c>
      <c r="C141" s="2">
        <v>4</v>
      </c>
      <c r="D141" s="5">
        <v>4</v>
      </c>
      <c r="E141" s="3" t="s">
        <v>15</v>
      </c>
      <c r="F141" s="3" t="s">
        <v>11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x14ac:dyDescent="0.25">
      <c r="A142" s="1" t="str">
        <f t="shared" si="2"/>
        <v>TD</v>
      </c>
      <c r="B142" s="1" t="s">
        <v>264</v>
      </c>
      <c r="C142" s="2">
        <v>4</v>
      </c>
      <c r="D142" s="5">
        <v>4</v>
      </c>
      <c r="E142" s="3" t="s">
        <v>18</v>
      </c>
      <c r="F142" s="3" t="s">
        <v>11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x14ac:dyDescent="0.25">
      <c r="A143" s="1" t="str">
        <f t="shared" si="2"/>
        <v>TF</v>
      </c>
      <c r="B143" s="1" t="s">
        <v>55</v>
      </c>
      <c r="C143" s="2">
        <v>51</v>
      </c>
      <c r="D143" s="5">
        <v>7.6119402985074629</v>
      </c>
      <c r="E143" s="3" t="s">
        <v>27</v>
      </c>
      <c r="F143" s="3" t="s">
        <v>56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x14ac:dyDescent="0.25">
      <c r="A144" s="1" t="str">
        <f t="shared" si="2"/>
        <v>TA</v>
      </c>
      <c r="B144" s="1" t="s">
        <v>58</v>
      </c>
      <c r="C144" s="2">
        <v>49</v>
      </c>
      <c r="D144" s="5">
        <v>98</v>
      </c>
      <c r="E144" s="3" t="s">
        <v>27</v>
      </c>
      <c r="F144" s="3" t="s">
        <v>56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x14ac:dyDescent="0.25">
      <c r="A145" s="1" t="str">
        <f t="shared" si="2"/>
        <v>TD</v>
      </c>
      <c r="B145" s="1" t="s">
        <v>61</v>
      </c>
      <c r="C145" s="2">
        <v>46.4</v>
      </c>
      <c r="D145" s="5">
        <v>12.210526315789474</v>
      </c>
      <c r="E145" s="3" t="s">
        <v>7</v>
      </c>
      <c r="F145" s="3" t="s">
        <v>56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x14ac:dyDescent="0.25">
      <c r="A146" s="1" t="str">
        <f t="shared" si="2"/>
        <v>TA</v>
      </c>
      <c r="B146" s="1" t="s">
        <v>62</v>
      </c>
      <c r="C146" s="2">
        <v>46.35</v>
      </c>
      <c r="D146" s="5">
        <v>20.15217391304348</v>
      </c>
      <c r="E146" s="3" t="s">
        <v>18</v>
      </c>
      <c r="F146" s="3" t="s">
        <v>56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x14ac:dyDescent="0.25">
      <c r="A147" s="1" t="str">
        <f t="shared" si="2"/>
        <v>TD</v>
      </c>
      <c r="B147" s="1" t="s">
        <v>91</v>
      </c>
      <c r="C147" s="2">
        <v>30.4</v>
      </c>
      <c r="D147" s="5">
        <v>16.888888888888889</v>
      </c>
      <c r="E147" s="3" t="s">
        <v>7</v>
      </c>
      <c r="F147" s="3" t="s">
        <v>56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idden="1" x14ac:dyDescent="0.25">
      <c r="A148" s="1" t="str">
        <f t="shared" si="2"/>
        <v>BL</v>
      </c>
      <c r="B148" s="1" t="s">
        <v>103</v>
      </c>
      <c r="C148" s="2">
        <v>24</v>
      </c>
      <c r="D148" s="5">
        <v>6</v>
      </c>
      <c r="E148" s="3" t="s">
        <v>18</v>
      </c>
      <c r="F148" s="3" t="s">
        <v>56</v>
      </c>
    </row>
    <row r="149" spans="1:16" hidden="1" x14ac:dyDescent="0.25">
      <c r="A149" s="1" t="str">
        <f t="shared" si="2"/>
        <v>BL</v>
      </c>
      <c r="B149" s="1" t="s">
        <v>172</v>
      </c>
      <c r="C149" s="2">
        <v>10</v>
      </c>
      <c r="D149" s="5">
        <v>5</v>
      </c>
      <c r="E149" s="3" t="s">
        <v>18</v>
      </c>
      <c r="F149" s="3" t="s">
        <v>56</v>
      </c>
    </row>
    <row r="150" spans="1:16" hidden="1" x14ac:dyDescent="0.25">
      <c r="A150" s="1" t="str">
        <f t="shared" si="2"/>
        <v>BL</v>
      </c>
      <c r="B150" s="1" t="s">
        <v>195</v>
      </c>
      <c r="C150" s="2">
        <v>8</v>
      </c>
      <c r="D150" s="5">
        <v>8</v>
      </c>
      <c r="E150" s="3" t="s">
        <v>18</v>
      </c>
      <c r="F150" s="3" t="s">
        <v>56</v>
      </c>
    </row>
    <row r="151" spans="1:16" hidden="1" x14ac:dyDescent="0.25">
      <c r="A151" s="1" t="str">
        <f t="shared" si="2"/>
        <v>BL</v>
      </c>
      <c r="B151" s="1" t="s">
        <v>208</v>
      </c>
      <c r="C151" s="2">
        <v>7</v>
      </c>
      <c r="D151" s="5">
        <v>7</v>
      </c>
      <c r="E151" s="3" t="s">
        <v>7</v>
      </c>
      <c r="F151" s="3" t="s">
        <v>56</v>
      </c>
    </row>
    <row r="152" spans="1:16" hidden="1" x14ac:dyDescent="0.25">
      <c r="A152" s="1" t="str">
        <f t="shared" si="2"/>
        <v>BL</v>
      </c>
      <c r="B152" s="1" t="s">
        <v>210</v>
      </c>
      <c r="C152" s="2">
        <v>7</v>
      </c>
      <c r="D152" s="5">
        <v>7</v>
      </c>
      <c r="E152" s="3" t="s">
        <v>18</v>
      </c>
      <c r="F152" s="3" t="s">
        <v>56</v>
      </c>
    </row>
    <row r="153" spans="1:16" hidden="1" x14ac:dyDescent="0.25">
      <c r="A153" s="1" t="str">
        <f t="shared" si="2"/>
        <v>BL</v>
      </c>
      <c r="B153" s="1" t="s">
        <v>235</v>
      </c>
      <c r="C153" s="2">
        <v>5</v>
      </c>
      <c r="D153" s="5">
        <v>5</v>
      </c>
      <c r="E153" s="3" t="s">
        <v>8</v>
      </c>
      <c r="F153" s="3" t="s">
        <v>56</v>
      </c>
    </row>
    <row r="154" spans="1:16" hidden="1" x14ac:dyDescent="0.25">
      <c r="A154" s="1" t="str">
        <f t="shared" si="2"/>
        <v>BL</v>
      </c>
      <c r="B154" s="1" t="s">
        <v>255</v>
      </c>
      <c r="C154" s="2">
        <v>4</v>
      </c>
      <c r="D154" s="5">
        <v>4</v>
      </c>
      <c r="E154" s="3" t="s">
        <v>66</v>
      </c>
      <c r="F154" s="3" t="s">
        <v>56</v>
      </c>
    </row>
    <row r="155" spans="1:16" hidden="1" x14ac:dyDescent="0.25">
      <c r="A155" s="1" t="str">
        <f t="shared" si="2"/>
        <v>BL</v>
      </c>
      <c r="B155" s="1" t="s">
        <v>256</v>
      </c>
      <c r="C155" s="2">
        <v>4</v>
      </c>
      <c r="D155" s="5">
        <v>4</v>
      </c>
      <c r="E155" s="3" t="s">
        <v>18</v>
      </c>
      <c r="F155" s="3" t="s">
        <v>56</v>
      </c>
    </row>
    <row r="156" spans="1:16" hidden="1" x14ac:dyDescent="0.25">
      <c r="A156" s="1" t="str">
        <f t="shared" si="2"/>
        <v>BL</v>
      </c>
      <c r="B156" s="1" t="s">
        <v>261</v>
      </c>
      <c r="C156" s="2">
        <v>4</v>
      </c>
      <c r="D156" s="5">
        <v>4</v>
      </c>
      <c r="E156" s="3" t="s">
        <v>8</v>
      </c>
      <c r="F156" s="3" t="s">
        <v>56</v>
      </c>
    </row>
    <row r="157" spans="1:16" x14ac:dyDescent="0.25">
      <c r="A157" s="1" t="str">
        <f t="shared" si="2"/>
        <v>OT</v>
      </c>
      <c r="B157" s="1" t="s">
        <v>22</v>
      </c>
      <c r="C157" s="2">
        <v>313</v>
      </c>
      <c r="D157" s="5">
        <v>0</v>
      </c>
      <c r="E157" s="3" t="s">
        <v>7</v>
      </c>
      <c r="F157" s="3" t="s">
        <v>56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x14ac:dyDescent="0.25">
      <c r="A158" s="1" t="str">
        <f t="shared" si="2"/>
        <v>TA</v>
      </c>
      <c r="B158" s="1" t="s">
        <v>44</v>
      </c>
      <c r="C158" s="2">
        <v>76.299999999999983</v>
      </c>
      <c r="D158" s="5">
        <v>0</v>
      </c>
      <c r="E158" s="3" t="s">
        <v>18</v>
      </c>
      <c r="F158" s="3" t="s">
        <v>56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x14ac:dyDescent="0.25">
      <c r="A159" s="1" t="str">
        <f t="shared" si="2"/>
        <v>TA</v>
      </c>
      <c r="B159" s="1" t="s">
        <v>57</v>
      </c>
      <c r="C159" s="2">
        <v>49.51</v>
      </c>
      <c r="D159" s="5">
        <v>0</v>
      </c>
      <c r="E159" s="3" t="s">
        <v>27</v>
      </c>
      <c r="F159" s="3" t="s">
        <v>56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x14ac:dyDescent="0.25">
      <c r="A160" s="1" t="str">
        <f t="shared" si="2"/>
        <v>OT</v>
      </c>
      <c r="B160" s="1" t="s">
        <v>63</v>
      </c>
      <c r="C160" s="2">
        <v>46</v>
      </c>
      <c r="D160" s="5">
        <v>0</v>
      </c>
      <c r="E160" s="3" t="s">
        <v>7</v>
      </c>
      <c r="F160" s="3" t="s">
        <v>56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x14ac:dyDescent="0.25">
      <c r="A161" s="1" t="str">
        <f t="shared" si="2"/>
        <v>TD</v>
      </c>
      <c r="B161" s="1" t="s">
        <v>64</v>
      </c>
      <c r="C161" s="2">
        <v>45.35</v>
      </c>
      <c r="D161" s="5">
        <v>0</v>
      </c>
      <c r="E161" s="3" t="s">
        <v>18</v>
      </c>
      <c r="F161" s="3" t="s">
        <v>56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x14ac:dyDescent="0.25">
      <c r="A162" s="1" t="str">
        <f t="shared" si="2"/>
        <v>TV</v>
      </c>
      <c r="B162" s="1" t="s">
        <v>74</v>
      </c>
      <c r="C162" s="2">
        <v>38.682000000000002</v>
      </c>
      <c r="D162" s="5">
        <v>0</v>
      </c>
      <c r="E162" s="3" t="s">
        <v>18</v>
      </c>
      <c r="F162" s="3" t="s">
        <v>56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x14ac:dyDescent="0.25">
      <c r="A163" s="1" t="str">
        <f t="shared" si="2"/>
        <v>TA</v>
      </c>
      <c r="B163" s="1" t="s">
        <v>75</v>
      </c>
      <c r="C163" s="2">
        <v>38.29</v>
      </c>
      <c r="D163" s="5">
        <v>0</v>
      </c>
      <c r="E163" s="3" t="s">
        <v>27</v>
      </c>
      <c r="F163" s="3" t="s">
        <v>56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x14ac:dyDescent="0.25">
      <c r="A164" s="1" t="str">
        <f t="shared" si="2"/>
        <v>TA</v>
      </c>
      <c r="B164" s="1" t="s">
        <v>79</v>
      </c>
      <c r="C164" s="2">
        <v>33.85</v>
      </c>
      <c r="D164" s="5">
        <v>0</v>
      </c>
      <c r="E164" s="3" t="s">
        <v>6</v>
      </c>
      <c r="F164" s="3" t="s">
        <v>56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x14ac:dyDescent="0.25">
      <c r="A165" s="1" t="str">
        <f t="shared" si="2"/>
        <v>TD</v>
      </c>
      <c r="B165" s="1" t="s">
        <v>80</v>
      </c>
      <c r="C165" s="2">
        <v>33.6</v>
      </c>
      <c r="D165" s="5">
        <v>0</v>
      </c>
      <c r="E165" s="3" t="s">
        <v>18</v>
      </c>
      <c r="F165" s="3" t="s">
        <v>56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x14ac:dyDescent="0.25">
      <c r="A166" s="1" t="str">
        <f t="shared" si="2"/>
        <v>TA</v>
      </c>
      <c r="B166" s="1" t="s">
        <v>89</v>
      </c>
      <c r="C166" s="2">
        <v>30.900000000000002</v>
      </c>
      <c r="D166" s="5">
        <v>0</v>
      </c>
      <c r="E166" s="3" t="s">
        <v>13</v>
      </c>
      <c r="F166" s="3" t="s">
        <v>56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x14ac:dyDescent="0.25">
      <c r="A167" s="1" t="str">
        <f t="shared" si="2"/>
        <v>TD</v>
      </c>
      <c r="B167" s="1" t="s">
        <v>96</v>
      </c>
      <c r="C167" s="2">
        <v>26.2</v>
      </c>
      <c r="D167" s="5">
        <v>0</v>
      </c>
      <c r="E167" s="3" t="s">
        <v>18</v>
      </c>
      <c r="F167" s="3" t="s">
        <v>56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idden="1" x14ac:dyDescent="0.25">
      <c r="A168" s="1" t="str">
        <f t="shared" si="2"/>
        <v>BL</v>
      </c>
      <c r="B168" s="1" t="s">
        <v>97</v>
      </c>
      <c r="C168" s="2">
        <v>25</v>
      </c>
      <c r="D168" s="5">
        <v>0</v>
      </c>
      <c r="E168" s="3" t="s">
        <v>18</v>
      </c>
      <c r="F168" s="3" t="s">
        <v>56</v>
      </c>
    </row>
    <row r="169" spans="1:16" x14ac:dyDescent="0.25">
      <c r="A169" s="1" t="str">
        <f t="shared" si="2"/>
        <v>TV</v>
      </c>
      <c r="B169" s="1" t="s">
        <v>99</v>
      </c>
      <c r="C169" s="2">
        <v>24.48</v>
      </c>
      <c r="D169" s="5">
        <v>0</v>
      </c>
      <c r="E169" s="3" t="s">
        <v>27</v>
      </c>
      <c r="F169" s="3" t="s">
        <v>56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idden="1" x14ac:dyDescent="0.25">
      <c r="A170" s="1" t="str">
        <f t="shared" si="2"/>
        <v>BL</v>
      </c>
      <c r="B170" s="1" t="s">
        <v>101</v>
      </c>
      <c r="C170" s="2">
        <v>24</v>
      </c>
      <c r="D170" s="5">
        <v>0</v>
      </c>
      <c r="E170" s="3" t="s">
        <v>42</v>
      </c>
      <c r="F170" s="3" t="s">
        <v>56</v>
      </c>
    </row>
    <row r="171" spans="1:16" hidden="1" x14ac:dyDescent="0.25">
      <c r="A171" s="1" t="str">
        <f t="shared" si="2"/>
        <v>BL</v>
      </c>
      <c r="B171" s="1" t="s">
        <v>102</v>
      </c>
      <c r="C171" s="2">
        <v>24</v>
      </c>
      <c r="D171" s="5">
        <v>0</v>
      </c>
      <c r="E171" s="3" t="s">
        <v>18</v>
      </c>
      <c r="F171" s="3" t="s">
        <v>56</v>
      </c>
    </row>
    <row r="172" spans="1:16" hidden="1" x14ac:dyDescent="0.25">
      <c r="A172" s="1" t="str">
        <f t="shared" si="2"/>
        <v>BL</v>
      </c>
      <c r="B172" s="1" t="s">
        <v>104</v>
      </c>
      <c r="C172" s="2">
        <v>24</v>
      </c>
      <c r="D172" s="5">
        <v>0</v>
      </c>
      <c r="E172" s="3" t="s">
        <v>18</v>
      </c>
      <c r="F172" s="3" t="s">
        <v>56</v>
      </c>
    </row>
    <row r="173" spans="1:16" hidden="1" x14ac:dyDescent="0.25">
      <c r="A173" s="1" t="str">
        <f t="shared" si="2"/>
        <v>BL</v>
      </c>
      <c r="B173" s="1" t="s">
        <v>106</v>
      </c>
      <c r="C173" s="2">
        <v>24</v>
      </c>
      <c r="D173" s="5">
        <v>0</v>
      </c>
      <c r="E173" s="3" t="s">
        <v>18</v>
      </c>
      <c r="F173" s="3" t="s">
        <v>56</v>
      </c>
    </row>
    <row r="174" spans="1:16" x14ac:dyDescent="0.25">
      <c r="A174" s="1" t="str">
        <f t="shared" si="2"/>
        <v>TV</v>
      </c>
      <c r="B174" s="1" t="s">
        <v>112</v>
      </c>
      <c r="C174" s="2">
        <v>22.265000000000001</v>
      </c>
      <c r="D174" s="5">
        <v>0</v>
      </c>
      <c r="E174" s="3" t="s">
        <v>18</v>
      </c>
      <c r="F174" s="3" t="s">
        <v>56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idden="1" x14ac:dyDescent="0.25">
      <c r="A175" s="1" t="str">
        <f t="shared" si="2"/>
        <v>BL</v>
      </c>
      <c r="B175" s="1" t="s">
        <v>116</v>
      </c>
      <c r="C175" s="2">
        <v>21</v>
      </c>
      <c r="D175" s="5">
        <v>0.84</v>
      </c>
      <c r="E175" s="3" t="s">
        <v>7</v>
      </c>
      <c r="F175" s="3" t="s">
        <v>56</v>
      </c>
    </row>
    <row r="176" spans="1:16" hidden="1" x14ac:dyDescent="0.25">
      <c r="A176" s="1" t="str">
        <f t="shared" si="2"/>
        <v>BL</v>
      </c>
      <c r="B176" s="1" t="s">
        <v>124</v>
      </c>
      <c r="C176" s="2">
        <v>19</v>
      </c>
      <c r="D176" s="5">
        <v>0</v>
      </c>
      <c r="E176" s="3" t="s">
        <v>18</v>
      </c>
      <c r="F176" s="3" t="s">
        <v>56</v>
      </c>
    </row>
    <row r="177" spans="1:16" x14ac:dyDescent="0.25">
      <c r="A177" s="1" t="str">
        <f t="shared" si="2"/>
        <v>TF</v>
      </c>
      <c r="B177" s="1" t="s">
        <v>126</v>
      </c>
      <c r="C177" s="2">
        <v>19</v>
      </c>
      <c r="D177" s="5">
        <v>0</v>
      </c>
      <c r="E177" s="3" t="s">
        <v>18</v>
      </c>
      <c r="F177" s="3" t="s">
        <v>56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x14ac:dyDescent="0.25">
      <c r="A178" s="1" t="str">
        <f t="shared" si="2"/>
        <v>TA</v>
      </c>
      <c r="B178" s="1" t="s">
        <v>127</v>
      </c>
      <c r="C178" s="2">
        <v>18.98</v>
      </c>
      <c r="D178" s="5">
        <v>0</v>
      </c>
      <c r="E178" s="3" t="s">
        <v>17</v>
      </c>
      <c r="F178" s="3" t="s">
        <v>56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x14ac:dyDescent="0.25">
      <c r="A179" s="1" t="str">
        <f t="shared" si="2"/>
        <v>TA</v>
      </c>
      <c r="B179" s="1" t="s">
        <v>128</v>
      </c>
      <c r="C179" s="2">
        <v>18.39</v>
      </c>
      <c r="D179" s="5">
        <v>0</v>
      </c>
      <c r="E179" s="3" t="s">
        <v>18</v>
      </c>
      <c r="F179" s="3" t="s">
        <v>56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x14ac:dyDescent="0.25">
      <c r="A180" s="1" t="str">
        <f t="shared" si="2"/>
        <v>TD</v>
      </c>
      <c r="B180" s="1" t="s">
        <v>134</v>
      </c>
      <c r="C180" s="2">
        <v>16.36</v>
      </c>
      <c r="D180" s="5">
        <v>0</v>
      </c>
      <c r="E180" s="3" t="s">
        <v>18</v>
      </c>
      <c r="F180" s="3" t="s">
        <v>56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idden="1" x14ac:dyDescent="0.25">
      <c r="A181" s="1" t="str">
        <f t="shared" si="2"/>
        <v>BL</v>
      </c>
      <c r="B181" s="1" t="s">
        <v>136</v>
      </c>
      <c r="C181" s="2">
        <v>16</v>
      </c>
      <c r="D181" s="5">
        <v>0</v>
      </c>
      <c r="E181" s="3" t="s">
        <v>18</v>
      </c>
      <c r="F181" s="3" t="s">
        <v>56</v>
      </c>
    </row>
    <row r="182" spans="1:16" hidden="1" x14ac:dyDescent="0.25">
      <c r="A182" s="1" t="str">
        <f t="shared" si="2"/>
        <v>BL</v>
      </c>
      <c r="B182" s="1" t="s">
        <v>137</v>
      </c>
      <c r="C182" s="2">
        <v>16</v>
      </c>
      <c r="D182" s="5">
        <v>0</v>
      </c>
      <c r="E182" s="3" t="s">
        <v>66</v>
      </c>
      <c r="F182" s="3" t="s">
        <v>56</v>
      </c>
    </row>
    <row r="183" spans="1:16" x14ac:dyDescent="0.25">
      <c r="A183" s="1" t="str">
        <f t="shared" si="2"/>
        <v>TV</v>
      </c>
      <c r="B183" s="1" t="s">
        <v>145</v>
      </c>
      <c r="C183" s="2">
        <v>15.28</v>
      </c>
      <c r="D183" s="5">
        <v>0</v>
      </c>
      <c r="E183" s="3" t="s">
        <v>12</v>
      </c>
      <c r="F183" s="3" t="s">
        <v>56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x14ac:dyDescent="0.25">
      <c r="A184" s="1" t="str">
        <f t="shared" si="2"/>
        <v>TA</v>
      </c>
      <c r="B184" s="1" t="s">
        <v>146</v>
      </c>
      <c r="C184" s="2">
        <v>15.07</v>
      </c>
      <c r="D184" s="5">
        <v>0</v>
      </c>
      <c r="E184" s="3" t="s">
        <v>18</v>
      </c>
      <c r="F184" s="3" t="s">
        <v>56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idden="1" x14ac:dyDescent="0.25">
      <c r="A185" s="1" t="str">
        <f t="shared" si="2"/>
        <v>BL</v>
      </c>
      <c r="B185" s="1" t="s">
        <v>147</v>
      </c>
      <c r="C185" s="2">
        <v>15</v>
      </c>
      <c r="D185" s="5">
        <v>0</v>
      </c>
      <c r="E185" s="3" t="s">
        <v>18</v>
      </c>
      <c r="F185" s="3" t="s">
        <v>56</v>
      </c>
    </row>
    <row r="186" spans="1:16" x14ac:dyDescent="0.25">
      <c r="A186" s="1" t="str">
        <f t="shared" si="2"/>
        <v>TD</v>
      </c>
      <c r="B186" s="1" t="s">
        <v>148</v>
      </c>
      <c r="C186" s="2">
        <v>15</v>
      </c>
      <c r="D186" s="5">
        <v>0</v>
      </c>
      <c r="E186" s="3" t="s">
        <v>18</v>
      </c>
      <c r="F186" s="3" t="s">
        <v>56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x14ac:dyDescent="0.25">
      <c r="A187" s="1" t="str">
        <f t="shared" si="2"/>
        <v>TA</v>
      </c>
      <c r="B187" s="1" t="s">
        <v>149</v>
      </c>
      <c r="C187" s="2">
        <v>14.47</v>
      </c>
      <c r="D187" s="5">
        <v>0</v>
      </c>
      <c r="E187" s="3" t="s">
        <v>18</v>
      </c>
      <c r="F187" s="3" t="s">
        <v>56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x14ac:dyDescent="0.25">
      <c r="A188" s="1" t="str">
        <f t="shared" si="2"/>
        <v>TD</v>
      </c>
      <c r="B188" s="1" t="s">
        <v>150</v>
      </c>
      <c r="C188" s="2">
        <v>14.3</v>
      </c>
      <c r="D188" s="5">
        <v>0</v>
      </c>
      <c r="E188" s="3" t="s">
        <v>18</v>
      </c>
      <c r="F188" s="3" t="s">
        <v>56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x14ac:dyDescent="0.25">
      <c r="A189" s="1" t="str">
        <f t="shared" si="2"/>
        <v>TA</v>
      </c>
      <c r="B189" s="1" t="s">
        <v>153</v>
      </c>
      <c r="C189" s="2">
        <v>13.414999999999999</v>
      </c>
      <c r="D189" s="5">
        <v>0</v>
      </c>
      <c r="E189" s="3" t="s">
        <v>18</v>
      </c>
      <c r="F189" s="3" t="s">
        <v>56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x14ac:dyDescent="0.25">
      <c r="A190" s="1" t="str">
        <f t="shared" si="2"/>
        <v>TA</v>
      </c>
      <c r="B190" s="1" t="s">
        <v>156</v>
      </c>
      <c r="C190" s="2">
        <v>12.43</v>
      </c>
      <c r="D190" s="5">
        <v>0.5638466772510774</v>
      </c>
      <c r="E190" s="3" t="s">
        <v>20</v>
      </c>
      <c r="F190" s="3" t="s">
        <v>56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idden="1" x14ac:dyDescent="0.25">
      <c r="A191" s="1" t="str">
        <f t="shared" si="2"/>
        <v>BL</v>
      </c>
      <c r="B191" s="1" t="s">
        <v>157</v>
      </c>
      <c r="C191" s="2">
        <v>12</v>
      </c>
      <c r="D191" s="5">
        <v>0</v>
      </c>
      <c r="E191" s="3" t="s">
        <v>18</v>
      </c>
      <c r="F191" s="3" t="s">
        <v>56</v>
      </c>
    </row>
    <row r="192" spans="1:16" hidden="1" x14ac:dyDescent="0.25">
      <c r="A192" s="1" t="str">
        <f t="shared" si="2"/>
        <v>BL</v>
      </c>
      <c r="B192" s="1" t="s">
        <v>158</v>
      </c>
      <c r="C192" s="2">
        <v>12</v>
      </c>
      <c r="D192" s="5">
        <v>0</v>
      </c>
      <c r="E192" s="3" t="s">
        <v>18</v>
      </c>
      <c r="F192" s="3" t="s">
        <v>56</v>
      </c>
    </row>
    <row r="193" spans="1:16" x14ac:dyDescent="0.25">
      <c r="A193" s="1" t="str">
        <f t="shared" si="2"/>
        <v>OT</v>
      </c>
      <c r="B193" s="1" t="s">
        <v>163</v>
      </c>
      <c r="C193" s="2">
        <v>12</v>
      </c>
      <c r="D193" s="5">
        <v>0</v>
      </c>
      <c r="E193" s="3" t="s">
        <v>18</v>
      </c>
      <c r="F193" s="3" t="s">
        <v>56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x14ac:dyDescent="0.25">
      <c r="A194" s="1" t="str">
        <f t="shared" si="2"/>
        <v>TA</v>
      </c>
      <c r="B194" s="1" t="s">
        <v>164</v>
      </c>
      <c r="C194" s="2">
        <v>11.66</v>
      </c>
      <c r="D194" s="5">
        <v>0</v>
      </c>
      <c r="E194" s="3" t="s">
        <v>18</v>
      </c>
      <c r="F194" s="3" t="s">
        <v>56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x14ac:dyDescent="0.25">
      <c r="A195" s="1" t="str">
        <f t="shared" si="2"/>
        <v>TV</v>
      </c>
      <c r="B195" s="1" t="s">
        <v>166</v>
      </c>
      <c r="C195" s="2">
        <v>10.83</v>
      </c>
      <c r="D195" s="5">
        <v>0</v>
      </c>
      <c r="E195" s="3" t="s">
        <v>27</v>
      </c>
      <c r="F195" s="3" t="s">
        <v>56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x14ac:dyDescent="0.25">
      <c r="A196" s="1" t="str">
        <f t="shared" si="2"/>
        <v>TA</v>
      </c>
      <c r="B196" s="1" t="s">
        <v>168</v>
      </c>
      <c r="C196" s="2">
        <v>10.555</v>
      </c>
      <c r="D196" s="5">
        <v>0</v>
      </c>
      <c r="E196" s="3" t="s">
        <v>18</v>
      </c>
      <c r="F196" s="3" t="s">
        <v>56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x14ac:dyDescent="0.25">
      <c r="A197" s="1" t="str">
        <f t="shared" si="2"/>
        <v>TD</v>
      </c>
      <c r="B197" s="1" t="s">
        <v>170</v>
      </c>
      <c r="C197" s="2">
        <v>10.199999999999999</v>
      </c>
      <c r="D197" s="5">
        <v>0</v>
      </c>
      <c r="E197" s="3" t="s">
        <v>18</v>
      </c>
      <c r="F197" s="3" t="s">
        <v>56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idden="1" x14ac:dyDescent="0.25">
      <c r="A198" s="1" t="str">
        <f t="shared" ref="A198:A261" si="3">LEFT(B198,2)</f>
        <v>BL</v>
      </c>
      <c r="B198" s="1" t="s">
        <v>174</v>
      </c>
      <c r="C198" s="2">
        <v>10</v>
      </c>
      <c r="D198" s="5">
        <v>0</v>
      </c>
      <c r="E198" s="3" t="s">
        <v>18</v>
      </c>
      <c r="F198" s="3" t="s">
        <v>56</v>
      </c>
    </row>
    <row r="199" spans="1:16" x14ac:dyDescent="0.25">
      <c r="A199" s="1" t="str">
        <f t="shared" si="3"/>
        <v>OT</v>
      </c>
      <c r="B199" s="1" t="s">
        <v>177</v>
      </c>
      <c r="C199" s="2">
        <v>10</v>
      </c>
      <c r="D199" s="5">
        <v>0</v>
      </c>
      <c r="E199" s="3" t="s">
        <v>18</v>
      </c>
      <c r="F199" s="3" t="s">
        <v>56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idden="1" x14ac:dyDescent="0.25">
      <c r="A200" s="1" t="str">
        <f t="shared" si="3"/>
        <v>BL</v>
      </c>
      <c r="B200" s="1" t="s">
        <v>181</v>
      </c>
      <c r="C200" s="2">
        <v>9</v>
      </c>
      <c r="D200" s="5">
        <v>0</v>
      </c>
      <c r="E200" s="3" t="s">
        <v>18</v>
      </c>
      <c r="F200" s="3" t="s">
        <v>56</v>
      </c>
    </row>
    <row r="201" spans="1:16" x14ac:dyDescent="0.25">
      <c r="A201" s="1" t="str">
        <f t="shared" si="3"/>
        <v>TA</v>
      </c>
      <c r="B201" s="1" t="s">
        <v>191</v>
      </c>
      <c r="C201" s="2">
        <v>8.9</v>
      </c>
      <c r="D201" s="5">
        <v>0</v>
      </c>
      <c r="E201" s="3" t="s">
        <v>18</v>
      </c>
      <c r="F201" s="3" t="s">
        <v>56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x14ac:dyDescent="0.25">
      <c r="A202" s="1" t="str">
        <f t="shared" si="3"/>
        <v>TA</v>
      </c>
      <c r="B202" s="1" t="s">
        <v>192</v>
      </c>
      <c r="C202" s="2">
        <v>8.77</v>
      </c>
      <c r="D202" s="5">
        <v>0</v>
      </c>
      <c r="E202" s="3" t="s">
        <v>18</v>
      </c>
      <c r="F202" s="3" t="s">
        <v>56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x14ac:dyDescent="0.25">
      <c r="A203" s="1" t="str">
        <f t="shared" si="3"/>
        <v>TF</v>
      </c>
      <c r="B203" s="1" t="s">
        <v>193</v>
      </c>
      <c r="C203" s="2">
        <v>8.43</v>
      </c>
      <c r="D203" s="5">
        <v>0</v>
      </c>
      <c r="E203" s="3" t="s">
        <v>27</v>
      </c>
      <c r="F203" s="3" t="s">
        <v>56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idden="1" x14ac:dyDescent="0.25">
      <c r="A204" s="1" t="str">
        <f t="shared" si="3"/>
        <v>BL</v>
      </c>
      <c r="B204" s="1" t="s">
        <v>197</v>
      </c>
      <c r="C204" s="2">
        <v>8</v>
      </c>
      <c r="D204" s="5">
        <v>0</v>
      </c>
      <c r="E204" s="3" t="s">
        <v>18</v>
      </c>
      <c r="F204" s="3" t="s">
        <v>56</v>
      </c>
    </row>
    <row r="205" spans="1:16" hidden="1" x14ac:dyDescent="0.25">
      <c r="A205" s="1" t="str">
        <f t="shared" si="3"/>
        <v>BL</v>
      </c>
      <c r="B205" s="1" t="s">
        <v>199</v>
      </c>
      <c r="C205" s="2">
        <v>8</v>
      </c>
      <c r="D205" s="5">
        <v>0</v>
      </c>
      <c r="E205" s="3" t="s">
        <v>18</v>
      </c>
      <c r="F205" s="3" t="s">
        <v>56</v>
      </c>
    </row>
    <row r="206" spans="1:16" hidden="1" x14ac:dyDescent="0.25">
      <c r="A206" s="1" t="str">
        <f t="shared" si="3"/>
        <v>BL</v>
      </c>
      <c r="B206" s="1" t="s">
        <v>200</v>
      </c>
      <c r="C206" s="2">
        <v>8</v>
      </c>
      <c r="D206" s="5">
        <v>0</v>
      </c>
      <c r="E206" s="3" t="s">
        <v>18</v>
      </c>
      <c r="F206" s="3" t="s">
        <v>56</v>
      </c>
    </row>
    <row r="207" spans="1:16" hidden="1" x14ac:dyDescent="0.25">
      <c r="A207" s="1" t="str">
        <f t="shared" si="3"/>
        <v>BL</v>
      </c>
      <c r="B207" s="1" t="s">
        <v>201</v>
      </c>
      <c r="C207" s="2">
        <v>8</v>
      </c>
      <c r="D207" s="5">
        <v>0</v>
      </c>
      <c r="E207" s="3" t="s">
        <v>7</v>
      </c>
      <c r="F207" s="3" t="s">
        <v>56</v>
      </c>
    </row>
    <row r="208" spans="1:16" x14ac:dyDescent="0.25">
      <c r="A208" s="1" t="str">
        <f t="shared" si="3"/>
        <v>TC</v>
      </c>
      <c r="B208" s="1" t="s">
        <v>202</v>
      </c>
      <c r="C208" s="2">
        <v>8</v>
      </c>
      <c r="D208" s="5">
        <v>0</v>
      </c>
      <c r="E208" s="3" t="s">
        <v>18</v>
      </c>
      <c r="F208" s="3" t="s">
        <v>56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x14ac:dyDescent="0.25">
      <c r="A209" s="1" t="str">
        <f t="shared" si="3"/>
        <v>TF</v>
      </c>
      <c r="B209" s="1" t="s">
        <v>205</v>
      </c>
      <c r="C209" s="2">
        <v>8</v>
      </c>
      <c r="D209" s="5">
        <v>0</v>
      </c>
      <c r="E209" s="3" t="s">
        <v>27</v>
      </c>
      <c r="F209" s="3" t="s">
        <v>56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x14ac:dyDescent="0.25">
      <c r="A210" s="1" t="str">
        <f t="shared" si="3"/>
        <v>TF</v>
      </c>
      <c r="B210" s="1" t="s">
        <v>206</v>
      </c>
      <c r="C210" s="2">
        <v>7.7</v>
      </c>
      <c r="D210" s="5">
        <v>0</v>
      </c>
      <c r="E210" s="3" t="s">
        <v>18</v>
      </c>
      <c r="F210" s="3" t="s">
        <v>56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idden="1" x14ac:dyDescent="0.25">
      <c r="A211" s="1" t="str">
        <f t="shared" si="3"/>
        <v>BL</v>
      </c>
      <c r="B211" s="1" t="s">
        <v>209</v>
      </c>
      <c r="C211" s="2">
        <v>7</v>
      </c>
      <c r="D211" s="5">
        <v>0</v>
      </c>
      <c r="E211" s="3" t="s">
        <v>18</v>
      </c>
      <c r="F211" s="3" t="s">
        <v>56</v>
      </c>
    </row>
    <row r="212" spans="1:16" hidden="1" x14ac:dyDescent="0.25">
      <c r="A212" s="1" t="str">
        <f t="shared" si="3"/>
        <v>BL</v>
      </c>
      <c r="B212" s="1" t="s">
        <v>211</v>
      </c>
      <c r="C212" s="2">
        <v>7</v>
      </c>
      <c r="D212" s="5">
        <v>0</v>
      </c>
      <c r="E212" s="3" t="s">
        <v>182</v>
      </c>
      <c r="F212" s="3" t="s">
        <v>56</v>
      </c>
    </row>
    <row r="213" spans="1:16" hidden="1" x14ac:dyDescent="0.25">
      <c r="A213" s="1" t="str">
        <f t="shared" si="3"/>
        <v>BL</v>
      </c>
      <c r="B213" s="1" t="s">
        <v>214</v>
      </c>
      <c r="C213" s="2">
        <v>7</v>
      </c>
      <c r="D213" s="5">
        <v>0.53846153846153844</v>
      </c>
      <c r="E213" s="3" t="s">
        <v>18</v>
      </c>
      <c r="F213" s="3" t="s">
        <v>56</v>
      </c>
    </row>
    <row r="214" spans="1:16" hidden="1" x14ac:dyDescent="0.25">
      <c r="A214" s="1" t="str">
        <f t="shared" si="3"/>
        <v>BL</v>
      </c>
      <c r="B214" s="1" t="s">
        <v>215</v>
      </c>
      <c r="C214" s="2">
        <v>7</v>
      </c>
      <c r="D214" s="5">
        <v>0.7</v>
      </c>
      <c r="E214" s="3" t="s">
        <v>13</v>
      </c>
      <c r="F214" s="3" t="s">
        <v>56</v>
      </c>
    </row>
    <row r="215" spans="1:16" x14ac:dyDescent="0.25">
      <c r="A215" s="1" t="str">
        <f t="shared" si="3"/>
        <v>TA</v>
      </c>
      <c r="B215" s="1" t="s">
        <v>217</v>
      </c>
      <c r="C215" s="2">
        <v>7</v>
      </c>
      <c r="D215" s="5">
        <v>0.61403508771929827</v>
      </c>
      <c r="E215" s="3" t="s">
        <v>15</v>
      </c>
      <c r="F215" s="3" t="s">
        <v>56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x14ac:dyDescent="0.25">
      <c r="A216" s="1" t="str">
        <f t="shared" si="3"/>
        <v>TA</v>
      </c>
      <c r="B216" s="1" t="s">
        <v>218</v>
      </c>
      <c r="C216" s="2">
        <v>6.03</v>
      </c>
      <c r="D216" s="5">
        <v>0</v>
      </c>
      <c r="E216" s="3" t="s">
        <v>18</v>
      </c>
      <c r="F216" s="3" t="s">
        <v>56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idden="1" x14ac:dyDescent="0.25">
      <c r="A217" s="1" t="str">
        <f t="shared" si="3"/>
        <v>BL</v>
      </c>
      <c r="B217" s="1" t="s">
        <v>219</v>
      </c>
      <c r="C217" s="2">
        <v>6</v>
      </c>
      <c r="D217" s="5">
        <v>0</v>
      </c>
      <c r="E217" s="3" t="s">
        <v>7</v>
      </c>
      <c r="F217" s="3" t="s">
        <v>56</v>
      </c>
    </row>
    <row r="218" spans="1:16" hidden="1" x14ac:dyDescent="0.25">
      <c r="A218" s="1" t="str">
        <f t="shared" si="3"/>
        <v>BL</v>
      </c>
      <c r="B218" s="1" t="s">
        <v>220</v>
      </c>
      <c r="C218" s="2">
        <v>6</v>
      </c>
      <c r="D218" s="5">
        <v>0</v>
      </c>
      <c r="E218" s="3" t="s">
        <v>18</v>
      </c>
      <c r="F218" s="3" t="s">
        <v>56</v>
      </c>
    </row>
    <row r="219" spans="1:16" hidden="1" x14ac:dyDescent="0.25">
      <c r="A219" s="1" t="str">
        <f t="shared" si="3"/>
        <v>BL</v>
      </c>
      <c r="B219" s="1" t="s">
        <v>221</v>
      </c>
      <c r="C219" s="2">
        <v>6</v>
      </c>
      <c r="D219" s="5">
        <v>0</v>
      </c>
      <c r="E219" s="3" t="s">
        <v>18</v>
      </c>
      <c r="F219" s="3" t="s">
        <v>56</v>
      </c>
    </row>
    <row r="220" spans="1:16" hidden="1" x14ac:dyDescent="0.25">
      <c r="A220" s="1" t="str">
        <f t="shared" si="3"/>
        <v>BL</v>
      </c>
      <c r="B220" s="1" t="s">
        <v>222</v>
      </c>
      <c r="C220" s="2">
        <v>6</v>
      </c>
      <c r="D220" s="5">
        <v>0</v>
      </c>
      <c r="E220" s="3" t="s">
        <v>18</v>
      </c>
      <c r="F220" s="3" t="s">
        <v>56</v>
      </c>
    </row>
    <row r="221" spans="1:16" hidden="1" x14ac:dyDescent="0.25">
      <c r="A221" s="1" t="str">
        <f t="shared" si="3"/>
        <v>BL</v>
      </c>
      <c r="B221" s="1" t="s">
        <v>223</v>
      </c>
      <c r="C221" s="2">
        <v>6</v>
      </c>
      <c r="D221" s="5">
        <v>0</v>
      </c>
      <c r="E221" s="3" t="s">
        <v>18</v>
      </c>
      <c r="F221" s="3" t="s">
        <v>56</v>
      </c>
    </row>
    <row r="222" spans="1:16" hidden="1" x14ac:dyDescent="0.25">
      <c r="A222" s="1" t="str">
        <f t="shared" si="3"/>
        <v>BL</v>
      </c>
      <c r="B222" s="1" t="s">
        <v>224</v>
      </c>
      <c r="C222" s="2">
        <v>6</v>
      </c>
      <c r="D222" s="5">
        <v>0</v>
      </c>
      <c r="E222" s="3" t="s">
        <v>18</v>
      </c>
      <c r="F222" s="3" t="s">
        <v>56</v>
      </c>
    </row>
    <row r="223" spans="1:16" hidden="1" x14ac:dyDescent="0.25">
      <c r="A223" s="1" t="str">
        <f t="shared" si="3"/>
        <v>BL</v>
      </c>
      <c r="B223" s="1" t="s">
        <v>225</v>
      </c>
      <c r="C223" s="2">
        <v>6</v>
      </c>
      <c r="D223" s="5">
        <v>0</v>
      </c>
      <c r="E223" s="3" t="s">
        <v>18</v>
      </c>
      <c r="F223" s="3" t="s">
        <v>56</v>
      </c>
    </row>
    <row r="224" spans="1:16" x14ac:dyDescent="0.25">
      <c r="A224" s="1" t="str">
        <f t="shared" si="3"/>
        <v>TA</v>
      </c>
      <c r="B224" s="1" t="s">
        <v>226</v>
      </c>
      <c r="C224" s="2">
        <v>5.9</v>
      </c>
      <c r="D224" s="5">
        <v>2.3704298915227004E-2</v>
      </c>
      <c r="E224" s="3" t="s">
        <v>7</v>
      </c>
      <c r="F224" s="3" t="s">
        <v>56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x14ac:dyDescent="0.25">
      <c r="A225" s="1" t="str">
        <f t="shared" si="3"/>
        <v>TA</v>
      </c>
      <c r="B225" s="1" t="s">
        <v>227</v>
      </c>
      <c r="C225" s="2">
        <v>5.8</v>
      </c>
      <c r="D225" s="5">
        <v>6.6437571592210767E-2</v>
      </c>
      <c r="E225" s="3" t="s">
        <v>20</v>
      </c>
      <c r="F225" s="3" t="s">
        <v>56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idden="1" x14ac:dyDescent="0.25">
      <c r="A226" s="1" t="str">
        <f t="shared" si="3"/>
        <v>BL</v>
      </c>
      <c r="B226" s="1" t="s">
        <v>228</v>
      </c>
      <c r="C226" s="2">
        <v>5</v>
      </c>
      <c r="D226" s="5">
        <v>0</v>
      </c>
      <c r="E226" s="3" t="s">
        <v>7</v>
      </c>
      <c r="F226" s="3" t="s">
        <v>56</v>
      </c>
    </row>
    <row r="227" spans="1:16" hidden="1" x14ac:dyDescent="0.25">
      <c r="A227" s="1" t="str">
        <f t="shared" si="3"/>
        <v>BL</v>
      </c>
      <c r="B227" s="1" t="s">
        <v>229</v>
      </c>
      <c r="C227" s="2">
        <v>5</v>
      </c>
      <c r="D227" s="5">
        <v>0</v>
      </c>
      <c r="E227" s="3" t="s">
        <v>18</v>
      </c>
      <c r="F227" s="3" t="s">
        <v>56</v>
      </c>
    </row>
    <row r="228" spans="1:16" hidden="1" x14ac:dyDescent="0.25">
      <c r="A228" s="1" t="str">
        <f t="shared" si="3"/>
        <v>BL</v>
      </c>
      <c r="B228" s="1" t="s">
        <v>230</v>
      </c>
      <c r="C228" s="2">
        <v>5</v>
      </c>
      <c r="D228" s="5">
        <v>0</v>
      </c>
      <c r="E228" s="3" t="s">
        <v>8</v>
      </c>
      <c r="F228" s="3" t="s">
        <v>56</v>
      </c>
    </row>
    <row r="229" spans="1:16" hidden="1" x14ac:dyDescent="0.25">
      <c r="A229" s="1" t="str">
        <f t="shared" si="3"/>
        <v>BL</v>
      </c>
      <c r="B229" s="1" t="s">
        <v>232</v>
      </c>
      <c r="C229" s="2">
        <v>5</v>
      </c>
      <c r="D229" s="5">
        <v>0</v>
      </c>
      <c r="E229" s="3" t="s">
        <v>20</v>
      </c>
      <c r="F229" s="3" t="s">
        <v>56</v>
      </c>
    </row>
    <row r="230" spans="1:16" hidden="1" x14ac:dyDescent="0.25">
      <c r="A230" s="1" t="str">
        <f t="shared" si="3"/>
        <v>BL</v>
      </c>
      <c r="B230" s="1" t="s">
        <v>234</v>
      </c>
      <c r="C230" s="2">
        <v>5</v>
      </c>
      <c r="D230" s="5">
        <v>0</v>
      </c>
      <c r="E230" s="3" t="s">
        <v>7</v>
      </c>
      <c r="F230" s="3" t="s">
        <v>56</v>
      </c>
    </row>
    <row r="231" spans="1:16" hidden="1" x14ac:dyDescent="0.25">
      <c r="A231" s="1" t="str">
        <f t="shared" si="3"/>
        <v>BL</v>
      </c>
      <c r="B231" s="1" t="s">
        <v>236</v>
      </c>
      <c r="C231" s="2">
        <v>5</v>
      </c>
      <c r="D231" s="5">
        <v>0</v>
      </c>
      <c r="E231" s="3" t="s">
        <v>7</v>
      </c>
      <c r="F231" s="3" t="s">
        <v>56</v>
      </c>
    </row>
    <row r="232" spans="1:16" hidden="1" x14ac:dyDescent="0.25">
      <c r="A232" s="1" t="str">
        <f t="shared" si="3"/>
        <v>BL</v>
      </c>
      <c r="B232" s="1" t="s">
        <v>237</v>
      </c>
      <c r="C232" s="2">
        <v>5</v>
      </c>
      <c r="D232" s="5">
        <v>0</v>
      </c>
      <c r="E232" s="3" t="s">
        <v>7</v>
      </c>
      <c r="F232" s="3" t="s">
        <v>56</v>
      </c>
    </row>
    <row r="233" spans="1:16" hidden="1" x14ac:dyDescent="0.25">
      <c r="A233" s="1" t="str">
        <f t="shared" si="3"/>
        <v>BL</v>
      </c>
      <c r="B233" s="1" t="s">
        <v>238</v>
      </c>
      <c r="C233" s="2">
        <v>5</v>
      </c>
      <c r="D233" s="5">
        <v>0</v>
      </c>
      <c r="E233" s="3" t="s">
        <v>18</v>
      </c>
      <c r="F233" s="3" t="s">
        <v>56</v>
      </c>
    </row>
    <row r="234" spans="1:16" x14ac:dyDescent="0.25">
      <c r="A234" s="1" t="str">
        <f t="shared" si="3"/>
        <v>OT</v>
      </c>
      <c r="B234" s="1" t="s">
        <v>240</v>
      </c>
      <c r="C234" s="2">
        <v>5</v>
      </c>
      <c r="D234" s="5">
        <v>0</v>
      </c>
      <c r="E234" s="3" t="s">
        <v>15</v>
      </c>
      <c r="F234" s="3" t="s">
        <v>56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x14ac:dyDescent="0.25">
      <c r="A235" s="1" t="str">
        <f t="shared" si="3"/>
        <v>TA</v>
      </c>
      <c r="B235" s="1" t="s">
        <v>242</v>
      </c>
      <c r="C235" s="2">
        <v>5</v>
      </c>
      <c r="D235" s="5">
        <v>0</v>
      </c>
      <c r="E235" s="3" t="s">
        <v>27</v>
      </c>
      <c r="F235" s="3" t="s">
        <v>56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x14ac:dyDescent="0.25">
      <c r="A236" s="1" t="str">
        <f t="shared" si="3"/>
        <v>TC</v>
      </c>
      <c r="B236" s="1" t="s">
        <v>244</v>
      </c>
      <c r="C236" s="2">
        <v>5</v>
      </c>
      <c r="D236" s="5">
        <v>0</v>
      </c>
      <c r="E236" s="3" t="s">
        <v>18</v>
      </c>
      <c r="F236" s="3" t="s">
        <v>56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x14ac:dyDescent="0.25">
      <c r="A237" s="1" t="str">
        <f t="shared" si="3"/>
        <v>TD</v>
      </c>
      <c r="B237" s="1" t="s">
        <v>245</v>
      </c>
      <c r="C237" s="2">
        <v>5</v>
      </c>
      <c r="D237" s="5">
        <v>0</v>
      </c>
      <c r="E237" s="3" t="s">
        <v>18</v>
      </c>
      <c r="F237" s="3" t="s">
        <v>56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x14ac:dyDescent="0.25">
      <c r="A238" s="1" t="str">
        <f t="shared" si="3"/>
        <v>TD</v>
      </c>
      <c r="B238" s="1" t="s">
        <v>246</v>
      </c>
      <c r="C238" s="2">
        <v>4.95</v>
      </c>
      <c r="D238" s="5">
        <v>0</v>
      </c>
      <c r="E238" s="3" t="s">
        <v>18</v>
      </c>
      <c r="F238" s="3" t="s">
        <v>56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x14ac:dyDescent="0.25">
      <c r="A239" s="1" t="str">
        <f t="shared" si="3"/>
        <v>TA</v>
      </c>
      <c r="B239" s="1" t="s">
        <v>247</v>
      </c>
      <c r="C239" s="2">
        <v>4.734</v>
      </c>
      <c r="D239" s="5">
        <v>0</v>
      </c>
      <c r="E239" s="3" t="s">
        <v>18</v>
      </c>
      <c r="F239" s="3" t="s">
        <v>56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x14ac:dyDescent="0.25">
      <c r="A240" s="1" t="str">
        <f t="shared" si="3"/>
        <v>TD</v>
      </c>
      <c r="B240" s="1" t="s">
        <v>248</v>
      </c>
      <c r="C240" s="2">
        <v>4.46</v>
      </c>
      <c r="D240" s="5">
        <v>0</v>
      </c>
      <c r="E240" s="3" t="s">
        <v>18</v>
      </c>
      <c r="F240" s="3" t="s">
        <v>56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idden="1" x14ac:dyDescent="0.25">
      <c r="A241" s="1" t="str">
        <f t="shared" si="3"/>
        <v>BL</v>
      </c>
      <c r="B241" s="1" t="s">
        <v>251</v>
      </c>
      <c r="C241" s="2">
        <v>4</v>
      </c>
      <c r="D241" s="5">
        <v>0</v>
      </c>
      <c r="E241" s="3" t="s">
        <v>17</v>
      </c>
      <c r="F241" s="3" t="s">
        <v>56</v>
      </c>
    </row>
    <row r="242" spans="1:16" hidden="1" x14ac:dyDescent="0.25">
      <c r="A242" s="1" t="str">
        <f t="shared" si="3"/>
        <v>BL</v>
      </c>
      <c r="B242" s="1" t="s">
        <v>252</v>
      </c>
      <c r="C242" s="2">
        <v>4</v>
      </c>
      <c r="D242" s="5">
        <v>0</v>
      </c>
      <c r="E242" s="3" t="s">
        <v>18</v>
      </c>
      <c r="F242" s="3" t="s">
        <v>56</v>
      </c>
    </row>
    <row r="243" spans="1:16" hidden="1" x14ac:dyDescent="0.25">
      <c r="A243" s="1" t="str">
        <f t="shared" si="3"/>
        <v>BL</v>
      </c>
      <c r="B243" s="1" t="s">
        <v>253</v>
      </c>
      <c r="C243" s="2">
        <v>4</v>
      </c>
      <c r="D243" s="5">
        <v>0</v>
      </c>
      <c r="E243" s="3" t="s">
        <v>18</v>
      </c>
      <c r="F243" s="3" t="s">
        <v>56</v>
      </c>
    </row>
    <row r="244" spans="1:16" hidden="1" x14ac:dyDescent="0.25">
      <c r="A244" s="1" t="str">
        <f t="shared" si="3"/>
        <v>BL</v>
      </c>
      <c r="B244" s="1" t="s">
        <v>254</v>
      </c>
      <c r="C244" s="2">
        <v>4</v>
      </c>
      <c r="D244" s="5">
        <v>0.8</v>
      </c>
      <c r="E244" s="3" t="s">
        <v>18</v>
      </c>
      <c r="F244" s="3" t="s">
        <v>56</v>
      </c>
    </row>
    <row r="245" spans="1:16" hidden="1" x14ac:dyDescent="0.25">
      <c r="A245" s="1" t="str">
        <f t="shared" si="3"/>
        <v>BL</v>
      </c>
      <c r="B245" s="1" t="s">
        <v>257</v>
      </c>
      <c r="C245" s="2">
        <v>4</v>
      </c>
      <c r="D245" s="5">
        <v>0</v>
      </c>
      <c r="E245" s="3" t="s">
        <v>7</v>
      </c>
      <c r="F245" s="3" t="s">
        <v>56</v>
      </c>
    </row>
    <row r="246" spans="1:16" hidden="1" x14ac:dyDescent="0.25">
      <c r="A246" s="1" t="str">
        <f t="shared" si="3"/>
        <v>BL</v>
      </c>
      <c r="B246" s="1" t="s">
        <v>258</v>
      </c>
      <c r="C246" s="2">
        <v>4</v>
      </c>
      <c r="D246" s="5">
        <v>0</v>
      </c>
      <c r="E246" s="3" t="s">
        <v>18</v>
      </c>
      <c r="F246" s="3" t="s">
        <v>56</v>
      </c>
    </row>
    <row r="247" spans="1:16" hidden="1" x14ac:dyDescent="0.25">
      <c r="A247" s="1" t="str">
        <f t="shared" si="3"/>
        <v>BL</v>
      </c>
      <c r="B247" s="1" t="s">
        <v>262</v>
      </c>
      <c r="C247" s="2">
        <v>4</v>
      </c>
      <c r="D247" s="5">
        <v>0</v>
      </c>
      <c r="E247" s="3" t="s">
        <v>18</v>
      </c>
      <c r="F247" s="3" t="s">
        <v>56</v>
      </c>
    </row>
    <row r="248" spans="1:16" x14ac:dyDescent="0.25">
      <c r="A248" s="1" t="str">
        <f t="shared" si="3"/>
        <v>TF</v>
      </c>
      <c r="B248" s="1" t="s">
        <v>265</v>
      </c>
      <c r="C248" s="2">
        <v>3.6</v>
      </c>
      <c r="D248" s="5">
        <v>0</v>
      </c>
      <c r="E248" s="3" t="s">
        <v>18</v>
      </c>
      <c r="F248" s="3" t="s">
        <v>56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x14ac:dyDescent="0.25">
      <c r="A249" s="1" t="str">
        <f t="shared" si="3"/>
        <v>TF</v>
      </c>
      <c r="B249" s="1" t="s">
        <v>266</v>
      </c>
      <c r="C249" s="2">
        <v>3.12</v>
      </c>
      <c r="D249" s="5">
        <v>0</v>
      </c>
      <c r="E249" s="3" t="s">
        <v>18</v>
      </c>
      <c r="F249" s="3" t="s">
        <v>56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x14ac:dyDescent="0.25">
      <c r="A250" s="1" t="str">
        <f t="shared" si="3"/>
        <v>TV</v>
      </c>
      <c r="B250" s="1" t="s">
        <v>267</v>
      </c>
      <c r="C250" s="2">
        <v>3.02</v>
      </c>
      <c r="D250" s="5">
        <v>0</v>
      </c>
      <c r="E250" s="3" t="s">
        <v>18</v>
      </c>
      <c r="F250" s="3" t="s">
        <v>56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idden="1" x14ac:dyDescent="0.25">
      <c r="A251" s="1" t="str">
        <f t="shared" si="3"/>
        <v>BL</v>
      </c>
      <c r="B251" s="1" t="s">
        <v>268</v>
      </c>
      <c r="C251" s="2">
        <v>3</v>
      </c>
      <c r="D251" s="5">
        <v>0</v>
      </c>
      <c r="E251" s="3" t="s">
        <v>18</v>
      </c>
      <c r="F251" s="3" t="s">
        <v>56</v>
      </c>
    </row>
    <row r="252" spans="1:16" hidden="1" x14ac:dyDescent="0.25">
      <c r="A252" s="1" t="str">
        <f t="shared" si="3"/>
        <v>BL</v>
      </c>
      <c r="B252" s="1" t="s">
        <v>269</v>
      </c>
      <c r="C252" s="2">
        <v>3</v>
      </c>
      <c r="D252" s="5">
        <v>0</v>
      </c>
      <c r="E252" s="3" t="s">
        <v>18</v>
      </c>
      <c r="F252" s="3" t="s">
        <v>56</v>
      </c>
    </row>
    <row r="253" spans="1:16" hidden="1" x14ac:dyDescent="0.25">
      <c r="A253" s="1" t="str">
        <f t="shared" si="3"/>
        <v>BL</v>
      </c>
      <c r="B253" s="1" t="s">
        <v>270</v>
      </c>
      <c r="C253" s="2">
        <v>3</v>
      </c>
      <c r="D253" s="5">
        <v>0</v>
      </c>
      <c r="E253" s="3" t="s">
        <v>18</v>
      </c>
      <c r="F253" s="3" t="s">
        <v>56</v>
      </c>
    </row>
    <row r="254" spans="1:16" hidden="1" x14ac:dyDescent="0.25">
      <c r="A254" s="1" t="str">
        <f t="shared" si="3"/>
        <v>BL</v>
      </c>
      <c r="B254" s="1" t="s">
        <v>271</v>
      </c>
      <c r="C254" s="2">
        <v>3</v>
      </c>
      <c r="D254" s="5">
        <v>0</v>
      </c>
      <c r="E254" s="3" t="s">
        <v>7</v>
      </c>
      <c r="F254" s="3" t="s">
        <v>56</v>
      </c>
    </row>
    <row r="255" spans="1:16" hidden="1" x14ac:dyDescent="0.25">
      <c r="A255" s="1" t="str">
        <f t="shared" si="3"/>
        <v>BL</v>
      </c>
      <c r="B255" s="1" t="s">
        <v>272</v>
      </c>
      <c r="C255" s="2">
        <v>3</v>
      </c>
      <c r="D255" s="5">
        <v>0</v>
      </c>
      <c r="E255" s="3" t="s">
        <v>18</v>
      </c>
      <c r="F255" s="3" t="s">
        <v>56</v>
      </c>
    </row>
    <row r="256" spans="1:16" hidden="1" x14ac:dyDescent="0.25">
      <c r="A256" s="1" t="str">
        <f t="shared" si="3"/>
        <v>BL</v>
      </c>
      <c r="B256" s="1" t="s">
        <v>273</v>
      </c>
      <c r="C256" s="2">
        <v>3</v>
      </c>
      <c r="D256" s="5">
        <v>0</v>
      </c>
      <c r="E256" s="3" t="s">
        <v>18</v>
      </c>
      <c r="F256" s="3" t="s">
        <v>56</v>
      </c>
    </row>
    <row r="257" spans="1:16" hidden="1" x14ac:dyDescent="0.25">
      <c r="A257" s="1" t="str">
        <f t="shared" si="3"/>
        <v>BL</v>
      </c>
      <c r="B257" s="1" t="s">
        <v>274</v>
      </c>
      <c r="C257" s="2">
        <v>3</v>
      </c>
      <c r="D257" s="5">
        <v>0</v>
      </c>
      <c r="E257" s="3" t="s">
        <v>18</v>
      </c>
      <c r="F257" s="3" t="s">
        <v>56</v>
      </c>
    </row>
    <row r="258" spans="1:16" hidden="1" x14ac:dyDescent="0.25">
      <c r="A258" s="1" t="str">
        <f t="shared" si="3"/>
        <v>BL</v>
      </c>
      <c r="B258" s="1" t="s">
        <v>275</v>
      </c>
      <c r="C258" s="2">
        <v>3</v>
      </c>
      <c r="D258" s="5">
        <v>0</v>
      </c>
      <c r="E258" s="3" t="s">
        <v>18</v>
      </c>
      <c r="F258" s="3" t="s">
        <v>56</v>
      </c>
    </row>
    <row r="259" spans="1:16" hidden="1" x14ac:dyDescent="0.25">
      <c r="A259" s="1" t="str">
        <f t="shared" si="3"/>
        <v>BL</v>
      </c>
      <c r="B259" s="1" t="s">
        <v>276</v>
      </c>
      <c r="C259" s="2">
        <v>3</v>
      </c>
      <c r="D259" s="5">
        <v>0</v>
      </c>
      <c r="E259" s="3" t="s">
        <v>18</v>
      </c>
      <c r="F259" s="3" t="s">
        <v>56</v>
      </c>
    </row>
    <row r="260" spans="1:16" hidden="1" x14ac:dyDescent="0.25">
      <c r="A260" s="1" t="str">
        <f t="shared" si="3"/>
        <v>BL</v>
      </c>
      <c r="B260" s="1" t="s">
        <v>277</v>
      </c>
      <c r="C260" s="2">
        <v>3</v>
      </c>
      <c r="D260" s="5">
        <v>7.6923076923076927E-2</v>
      </c>
      <c r="E260" s="3" t="s">
        <v>17</v>
      </c>
      <c r="F260" s="3" t="s">
        <v>56</v>
      </c>
    </row>
    <row r="261" spans="1:16" x14ac:dyDescent="0.25">
      <c r="A261" s="1" t="str">
        <f t="shared" si="3"/>
        <v>OT</v>
      </c>
      <c r="B261" s="1" t="s">
        <v>278</v>
      </c>
      <c r="C261" s="2">
        <v>3</v>
      </c>
      <c r="D261" s="5">
        <v>0</v>
      </c>
      <c r="E261" s="3" t="s">
        <v>7</v>
      </c>
      <c r="F261" s="3" t="s">
        <v>56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x14ac:dyDescent="0.25">
      <c r="A262" s="1" t="str">
        <f t="shared" ref="A262:A285" si="4">LEFT(B262,2)</f>
        <v>PV</v>
      </c>
      <c r="B262" s="1" t="s">
        <v>279</v>
      </c>
      <c r="C262" s="2">
        <v>3</v>
      </c>
      <c r="D262" s="5">
        <v>0</v>
      </c>
      <c r="E262" s="3" t="s">
        <v>12</v>
      </c>
      <c r="F262" s="3" t="s">
        <v>56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x14ac:dyDescent="0.25">
      <c r="A263" s="1" t="str">
        <f t="shared" si="4"/>
        <v>TV</v>
      </c>
      <c r="B263" s="1" t="s">
        <v>280</v>
      </c>
      <c r="C263" s="2">
        <v>2.9049999999999998</v>
      </c>
      <c r="D263" s="5">
        <v>0</v>
      </c>
      <c r="E263" s="3" t="s">
        <v>18</v>
      </c>
      <c r="F263" s="3" t="s">
        <v>56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x14ac:dyDescent="0.25">
      <c r="A264" s="1" t="str">
        <f t="shared" si="4"/>
        <v>TA</v>
      </c>
      <c r="B264" s="1" t="s">
        <v>281</v>
      </c>
      <c r="C264" s="2">
        <v>2.81</v>
      </c>
      <c r="D264" s="5">
        <v>0</v>
      </c>
      <c r="E264" s="3" t="s">
        <v>18</v>
      </c>
      <c r="F264" s="3" t="s">
        <v>56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x14ac:dyDescent="0.25">
      <c r="A265" s="1" t="str">
        <f t="shared" si="4"/>
        <v>TA</v>
      </c>
      <c r="B265" s="1" t="s">
        <v>282</v>
      </c>
      <c r="C265" s="2">
        <v>2.8</v>
      </c>
      <c r="D265" s="5">
        <v>0</v>
      </c>
      <c r="E265" s="3" t="s">
        <v>18</v>
      </c>
      <c r="F265" s="3" t="s">
        <v>56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x14ac:dyDescent="0.25">
      <c r="A266" s="1" t="str">
        <f t="shared" si="4"/>
        <v>TD</v>
      </c>
      <c r="B266" s="1" t="s">
        <v>283</v>
      </c>
      <c r="C266" s="2">
        <v>2.6</v>
      </c>
      <c r="D266" s="5">
        <v>0</v>
      </c>
      <c r="E266" s="3" t="s">
        <v>18</v>
      </c>
      <c r="F266" s="3" t="s">
        <v>56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x14ac:dyDescent="0.25">
      <c r="A267" s="1" t="str">
        <f t="shared" si="4"/>
        <v>AR</v>
      </c>
      <c r="B267" s="1" t="s">
        <v>284</v>
      </c>
      <c r="C267" s="2">
        <v>2</v>
      </c>
      <c r="D267" s="5">
        <v>0</v>
      </c>
      <c r="E267" s="3" t="s">
        <v>18</v>
      </c>
      <c r="F267" s="3" t="s">
        <v>56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idden="1" x14ac:dyDescent="0.25">
      <c r="A268" s="1" t="str">
        <f t="shared" si="4"/>
        <v>BL</v>
      </c>
      <c r="B268" s="1" t="s">
        <v>285</v>
      </c>
      <c r="C268" s="2">
        <v>2</v>
      </c>
      <c r="D268" s="5">
        <v>0</v>
      </c>
      <c r="E268" s="3" t="s">
        <v>18</v>
      </c>
      <c r="F268" s="3" t="s">
        <v>56</v>
      </c>
    </row>
    <row r="269" spans="1:16" hidden="1" x14ac:dyDescent="0.25">
      <c r="A269" s="1" t="str">
        <f t="shared" si="4"/>
        <v>BL</v>
      </c>
      <c r="B269" s="1" t="s">
        <v>286</v>
      </c>
      <c r="C269" s="2">
        <v>2</v>
      </c>
      <c r="D269" s="5">
        <v>0</v>
      </c>
      <c r="E269" s="3" t="s">
        <v>18</v>
      </c>
      <c r="F269" s="3" t="s">
        <v>56</v>
      </c>
    </row>
    <row r="270" spans="1:16" hidden="1" x14ac:dyDescent="0.25">
      <c r="A270" s="1" t="str">
        <f t="shared" si="4"/>
        <v>BL</v>
      </c>
      <c r="B270" s="1" t="s">
        <v>287</v>
      </c>
      <c r="C270" s="2">
        <v>2</v>
      </c>
      <c r="D270" s="5">
        <v>0</v>
      </c>
      <c r="E270" s="3" t="s">
        <v>18</v>
      </c>
      <c r="F270" s="3" t="s">
        <v>56</v>
      </c>
    </row>
    <row r="271" spans="1:16" hidden="1" x14ac:dyDescent="0.25">
      <c r="A271" s="1" t="str">
        <f t="shared" si="4"/>
        <v>BL</v>
      </c>
      <c r="B271" s="1" t="s">
        <v>288</v>
      </c>
      <c r="C271" s="2">
        <v>2</v>
      </c>
      <c r="D271" s="5">
        <v>0</v>
      </c>
      <c r="E271" s="3" t="s">
        <v>18</v>
      </c>
      <c r="F271" s="3" t="s">
        <v>56</v>
      </c>
    </row>
    <row r="272" spans="1:16" hidden="1" x14ac:dyDescent="0.25">
      <c r="A272" s="1" t="str">
        <f t="shared" si="4"/>
        <v>BL</v>
      </c>
      <c r="B272" s="1" t="s">
        <v>289</v>
      </c>
      <c r="C272" s="2">
        <v>2</v>
      </c>
      <c r="D272" s="5">
        <v>0</v>
      </c>
      <c r="E272" s="3" t="s">
        <v>18</v>
      </c>
      <c r="F272" s="3" t="s">
        <v>56</v>
      </c>
    </row>
    <row r="273" spans="1:16" hidden="1" x14ac:dyDescent="0.25">
      <c r="A273" s="1" t="str">
        <f t="shared" si="4"/>
        <v>BL</v>
      </c>
      <c r="B273" s="1" t="s">
        <v>290</v>
      </c>
      <c r="C273" s="2">
        <v>2</v>
      </c>
      <c r="D273" s="5">
        <v>0</v>
      </c>
      <c r="E273" s="3" t="s">
        <v>7</v>
      </c>
      <c r="F273" s="3" t="s">
        <v>56</v>
      </c>
    </row>
    <row r="274" spans="1:16" hidden="1" x14ac:dyDescent="0.25">
      <c r="A274" s="1" t="str">
        <f t="shared" si="4"/>
        <v>BL</v>
      </c>
      <c r="B274" s="1" t="s">
        <v>291</v>
      </c>
      <c r="C274" s="2">
        <v>2</v>
      </c>
      <c r="D274" s="5">
        <v>0</v>
      </c>
      <c r="E274" s="3" t="s">
        <v>18</v>
      </c>
      <c r="F274" s="3" t="s">
        <v>56</v>
      </c>
    </row>
    <row r="275" spans="1:16" hidden="1" x14ac:dyDescent="0.25">
      <c r="A275" s="1" t="str">
        <f t="shared" si="4"/>
        <v>BL</v>
      </c>
      <c r="B275" s="1" t="s">
        <v>292</v>
      </c>
      <c r="C275" s="2">
        <v>2</v>
      </c>
      <c r="D275" s="5">
        <v>0</v>
      </c>
      <c r="E275" s="3" t="s">
        <v>18</v>
      </c>
      <c r="F275" s="3" t="s">
        <v>56</v>
      </c>
    </row>
    <row r="276" spans="1:16" hidden="1" x14ac:dyDescent="0.25">
      <c r="A276" s="1" t="str">
        <f t="shared" si="4"/>
        <v>BL</v>
      </c>
      <c r="B276" s="1" t="s">
        <v>293</v>
      </c>
      <c r="C276" s="2">
        <v>2</v>
      </c>
      <c r="D276" s="5">
        <v>0</v>
      </c>
      <c r="E276" s="3" t="s">
        <v>7</v>
      </c>
      <c r="F276" s="3" t="s">
        <v>56</v>
      </c>
    </row>
    <row r="277" spans="1:16" hidden="1" x14ac:dyDescent="0.25">
      <c r="A277" s="1" t="str">
        <f t="shared" si="4"/>
        <v>BL</v>
      </c>
      <c r="B277" s="1" t="s">
        <v>294</v>
      </c>
      <c r="C277" s="2">
        <v>2</v>
      </c>
      <c r="D277" s="5">
        <v>0</v>
      </c>
      <c r="E277" s="3" t="s">
        <v>7</v>
      </c>
      <c r="F277" s="3" t="s">
        <v>56</v>
      </c>
    </row>
    <row r="278" spans="1:16" hidden="1" x14ac:dyDescent="0.25">
      <c r="A278" s="1" t="str">
        <f t="shared" si="4"/>
        <v>BL</v>
      </c>
      <c r="B278" s="1" t="s">
        <v>295</v>
      </c>
      <c r="C278" s="2">
        <v>2</v>
      </c>
      <c r="D278" s="5">
        <v>0</v>
      </c>
      <c r="E278" s="3" t="s">
        <v>18</v>
      </c>
      <c r="F278" s="3" t="s">
        <v>56</v>
      </c>
    </row>
    <row r="279" spans="1:16" x14ac:dyDescent="0.25">
      <c r="A279" s="1" t="str">
        <f t="shared" si="4"/>
        <v>PV</v>
      </c>
      <c r="B279" s="1" t="s">
        <v>296</v>
      </c>
      <c r="C279" s="2">
        <v>2</v>
      </c>
      <c r="D279" s="5">
        <v>0</v>
      </c>
      <c r="E279" s="3" t="s">
        <v>8</v>
      </c>
      <c r="F279" s="3" t="s">
        <v>56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x14ac:dyDescent="0.25">
      <c r="A280" s="1" t="str">
        <f t="shared" si="4"/>
        <v>TA</v>
      </c>
      <c r="B280" s="1" t="s">
        <v>297</v>
      </c>
      <c r="C280" s="2">
        <v>2</v>
      </c>
      <c r="D280" s="5">
        <v>0</v>
      </c>
      <c r="E280" s="3" t="s">
        <v>18</v>
      </c>
      <c r="F280" s="3" t="s">
        <v>56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x14ac:dyDescent="0.25">
      <c r="A281" s="1" t="str">
        <f t="shared" si="4"/>
        <v>TC</v>
      </c>
      <c r="B281" s="1" t="s">
        <v>298</v>
      </c>
      <c r="C281" s="2">
        <v>2</v>
      </c>
      <c r="D281" s="5">
        <v>0</v>
      </c>
      <c r="E281" s="3" t="s">
        <v>8</v>
      </c>
      <c r="F281" s="3" t="s">
        <v>56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x14ac:dyDescent="0.25">
      <c r="A282" s="1" t="str">
        <f t="shared" si="4"/>
        <v>TA</v>
      </c>
      <c r="B282" s="1" t="s">
        <v>299</v>
      </c>
      <c r="C282" s="2">
        <v>1.97</v>
      </c>
      <c r="D282" s="5">
        <v>0</v>
      </c>
      <c r="E282" s="3" t="s">
        <v>18</v>
      </c>
      <c r="F282" s="3" t="s">
        <v>56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x14ac:dyDescent="0.25">
      <c r="A283" s="1" t="str">
        <f t="shared" si="4"/>
        <v>TA</v>
      </c>
      <c r="B283" s="1" t="s">
        <v>300</v>
      </c>
      <c r="C283" s="2">
        <v>1.905</v>
      </c>
      <c r="D283" s="5">
        <v>0.58978328173374617</v>
      </c>
      <c r="E283" s="3" t="s">
        <v>27</v>
      </c>
      <c r="F283" s="3" t="s">
        <v>56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x14ac:dyDescent="0.25">
      <c r="A284" s="1" t="str">
        <f t="shared" si="4"/>
        <v>TA</v>
      </c>
      <c r="B284" s="1" t="s">
        <v>301</v>
      </c>
      <c r="C284" s="2">
        <v>1.8</v>
      </c>
      <c r="D284" s="5">
        <v>0</v>
      </c>
      <c r="E284" s="3" t="s">
        <v>18</v>
      </c>
      <c r="F284" s="3" t="s">
        <v>56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x14ac:dyDescent="0.25">
      <c r="A285" s="1" t="str">
        <f t="shared" si="4"/>
        <v>TD</v>
      </c>
      <c r="B285" s="1" t="s">
        <v>302</v>
      </c>
      <c r="C285" s="2">
        <v>1.665</v>
      </c>
      <c r="D285" s="5">
        <v>0</v>
      </c>
      <c r="E285" s="3" t="s">
        <v>18</v>
      </c>
      <c r="F285" s="3" t="s">
        <v>56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</row>
  </sheetData>
  <autoFilter ref="A4:F285">
    <filterColumn colId="0">
      <filters>
        <filter val="AR"/>
        <filter val="OT"/>
        <filter val="PV"/>
        <filter val="TA"/>
        <filter val="TC"/>
        <filter val="TD"/>
        <filter val="TF"/>
        <filter val="TV"/>
      </filters>
    </filterColumn>
  </autoFilter>
  <mergeCells count="9">
    <mergeCell ref="C3:F3"/>
    <mergeCell ref="G1:H1"/>
    <mergeCell ref="I1:L1"/>
    <mergeCell ref="M1:P1"/>
    <mergeCell ref="G2:H2"/>
    <mergeCell ref="I2:L2"/>
    <mergeCell ref="M2:P2"/>
    <mergeCell ref="A1:F2"/>
    <mergeCell ref="A3: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lreyes</cp:lastModifiedBy>
  <dcterms:modified xsi:type="dcterms:W3CDTF">2025-12-15T17:23:17Z</dcterms:modified>
</cp:coreProperties>
</file>