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reyes\Desktop\PEDIDO DE INVENTARIO\"/>
    </mc:Choice>
  </mc:AlternateContent>
  <bookViews>
    <workbookView xWindow="0" yWindow="0" windowWidth="24000" windowHeight="9135"/>
  </bookViews>
  <sheets>
    <sheet name="Export" sheetId="1" r:id="rId1"/>
  </sheets>
  <definedNames>
    <definedName name="_xlnm._FilterDatabase" localSheetId="0" hidden="1">Export!$A$4:$E$248</definedName>
  </definedNames>
  <calcPr calcId="152511"/>
</workbook>
</file>

<file path=xl/calcChain.xml><?xml version="1.0" encoding="utf-8"?>
<calcChain xmlns="http://schemas.openxmlformats.org/spreadsheetml/2006/main">
  <c r="P1" i="1" l="1"/>
  <c r="L1" i="1"/>
  <c r="H1" i="1"/>
  <c r="F1" i="1"/>
</calcChain>
</file>

<file path=xl/sharedStrings.xml><?xml version="1.0" encoding="utf-8"?>
<sst xmlns="http://schemas.openxmlformats.org/spreadsheetml/2006/main" count="759" uniqueCount="276">
  <si>
    <t>Cód. base / artículo</t>
  </si>
  <si>
    <t>Stock Cons.</t>
  </si>
  <si>
    <t>Meses de stock</t>
  </si>
  <si>
    <t>Mes S/Ajustes</t>
  </si>
  <si>
    <t>Alerta Stock</t>
  </si>
  <si>
    <t>1</t>
  </si>
  <si>
    <t>OT003B00</t>
  </si>
  <si>
    <t>8</t>
  </si>
  <si>
    <t>3</t>
  </si>
  <si>
    <t>4</t>
  </si>
  <si>
    <t>TF61M</t>
  </si>
  <si>
    <t xml:space="preserve"> Sobrestock</t>
  </si>
  <si>
    <t>0</t>
  </si>
  <si>
    <t>TF112L</t>
  </si>
  <si>
    <t>Sin Ajustes 1A</t>
  </si>
  <si>
    <t>2</t>
  </si>
  <si>
    <t>6</t>
  </si>
  <si>
    <t>ME18109</t>
  </si>
  <si>
    <t>ME16326</t>
  </si>
  <si>
    <t>5</t>
  </si>
  <si>
    <t>TA01B00</t>
  </si>
  <si>
    <t>TV80M</t>
  </si>
  <si>
    <t>10</t>
  </si>
  <si>
    <t>TV06X</t>
  </si>
  <si>
    <t>ME221781</t>
  </si>
  <si>
    <t>ME266</t>
  </si>
  <si>
    <t>TA11E</t>
  </si>
  <si>
    <t>TV84S</t>
  </si>
  <si>
    <t>TV84C</t>
  </si>
  <si>
    <t>7</t>
  </si>
  <si>
    <t>TA56L</t>
  </si>
  <si>
    <t>ME1941</t>
  </si>
  <si>
    <t>ME1888</t>
  </si>
  <si>
    <t>TA11</t>
  </si>
  <si>
    <t>TD09012</t>
  </si>
  <si>
    <t>TA11PM</t>
  </si>
  <si>
    <t>ME18810</t>
  </si>
  <si>
    <t>TD36TM00</t>
  </si>
  <si>
    <t xml:space="preserve"> Sin rotación</t>
  </si>
  <si>
    <t>ME19406</t>
  </si>
  <si>
    <t>ME19537</t>
  </si>
  <si>
    <t>TA56X</t>
  </si>
  <si>
    <t>TV139F</t>
  </si>
  <si>
    <t>TA605V</t>
  </si>
  <si>
    <t>11</t>
  </si>
  <si>
    <t>TA77-1T00</t>
  </si>
  <si>
    <t>OT05M04</t>
  </si>
  <si>
    <t>ME1165</t>
  </si>
  <si>
    <t>OT003M26</t>
  </si>
  <si>
    <t>ME1972</t>
  </si>
  <si>
    <t>OT05M06</t>
  </si>
  <si>
    <t>TD2135</t>
  </si>
  <si>
    <t>ME2121</t>
  </si>
  <si>
    <t>OT05M01</t>
  </si>
  <si>
    <t>TV456M00</t>
  </si>
  <si>
    <t>TV51S01</t>
  </si>
  <si>
    <t>ME194717</t>
  </si>
  <si>
    <t>ME38346</t>
  </si>
  <si>
    <t>OT003M60</t>
  </si>
  <si>
    <t>TD39C</t>
  </si>
  <si>
    <t>OT003M67</t>
  </si>
  <si>
    <t>OT003M39</t>
  </si>
  <si>
    <t>TA70MF</t>
  </si>
  <si>
    <t>TA56LF07</t>
  </si>
  <si>
    <t>ME3834</t>
  </si>
  <si>
    <t>TA73</t>
  </si>
  <si>
    <t>TF61T</t>
  </si>
  <si>
    <t>OT05M09</t>
  </si>
  <si>
    <t>ME3993</t>
  </si>
  <si>
    <t>BL60400</t>
  </si>
  <si>
    <t>12</t>
  </si>
  <si>
    <t>OT05M05</t>
  </si>
  <si>
    <t>BL8000</t>
  </si>
  <si>
    <t>TA77-3T11</t>
  </si>
  <si>
    <t>OT05M07</t>
  </si>
  <si>
    <t>TF166M</t>
  </si>
  <si>
    <t>TV80E</t>
  </si>
  <si>
    <t>TD302SM</t>
  </si>
  <si>
    <t>BL7505C00</t>
  </si>
  <si>
    <t>BL711000</t>
  </si>
  <si>
    <t>TC510L00</t>
  </si>
  <si>
    <t>ME39911</t>
  </si>
  <si>
    <t>TA138G</t>
  </si>
  <si>
    <t>TA77-3S00</t>
  </si>
  <si>
    <t>TA1240</t>
  </si>
  <si>
    <t>OT003M34</t>
  </si>
  <si>
    <t>ME24216</t>
  </si>
  <si>
    <t>OT003M10</t>
  </si>
  <si>
    <t>OT003M22</t>
  </si>
  <si>
    <t>OT003M28</t>
  </si>
  <si>
    <t>OT003M54</t>
  </si>
  <si>
    <t>TA89</t>
  </si>
  <si>
    <t>TA89C00</t>
  </si>
  <si>
    <t>BL7007I00</t>
  </si>
  <si>
    <t>OT05M16</t>
  </si>
  <si>
    <t>BL89AT00</t>
  </si>
  <si>
    <t>TA56LF03</t>
  </si>
  <si>
    <t>BL544MF-200</t>
  </si>
  <si>
    <t>BL8E-200</t>
  </si>
  <si>
    <t>ME3998</t>
  </si>
  <si>
    <t>TC605LX01</t>
  </si>
  <si>
    <t>ME2838</t>
  </si>
  <si>
    <t>ME163133</t>
  </si>
  <si>
    <t>TC400I00</t>
  </si>
  <si>
    <t>TC605LX04</t>
  </si>
  <si>
    <t>OT003M62</t>
  </si>
  <si>
    <t>ME2132</t>
  </si>
  <si>
    <t>ME542</t>
  </si>
  <si>
    <t>OT003M25</t>
  </si>
  <si>
    <t>TA56LF02</t>
  </si>
  <si>
    <t>BL7045S03</t>
  </si>
  <si>
    <t>ME19102</t>
  </si>
  <si>
    <t>BL704000</t>
  </si>
  <si>
    <t>OT003M83</t>
  </si>
  <si>
    <t>OT05M00</t>
  </si>
  <si>
    <t>ME3992</t>
  </si>
  <si>
    <t>TV103</t>
  </si>
  <si>
    <t>BL7018X00</t>
  </si>
  <si>
    <t>ME1119</t>
  </si>
  <si>
    <t>ME298</t>
  </si>
  <si>
    <t>TC505X09</t>
  </si>
  <si>
    <t>TA605S</t>
  </si>
  <si>
    <t>ME192019</t>
  </si>
  <si>
    <t>OT003M63</t>
  </si>
  <si>
    <t>OT7025M00</t>
  </si>
  <si>
    <t>PVPB730900</t>
  </si>
  <si>
    <t>TD37S</t>
  </si>
  <si>
    <t>BL719500</t>
  </si>
  <si>
    <t>BL7198M00</t>
  </si>
  <si>
    <t>OT003M37</t>
  </si>
  <si>
    <t>OT003M38</t>
  </si>
  <si>
    <t>OT003M94</t>
  </si>
  <si>
    <t>OT3702600</t>
  </si>
  <si>
    <t>TA70KF07</t>
  </si>
  <si>
    <t>BL7045S00</t>
  </si>
  <si>
    <t>BL7115L00</t>
  </si>
  <si>
    <t>ME11700</t>
  </si>
  <si>
    <t>ME1611</t>
  </si>
  <si>
    <t>ME161617</t>
  </si>
  <si>
    <t>ME27</t>
  </si>
  <si>
    <t>OT003M69</t>
  </si>
  <si>
    <t>PVREM06P</t>
  </si>
  <si>
    <t>TC605LX16</t>
  </si>
  <si>
    <t>TC81M04</t>
  </si>
  <si>
    <t>TA452T</t>
  </si>
  <si>
    <t>TA170C</t>
  </si>
  <si>
    <t>BL544E-200</t>
  </si>
  <si>
    <t>BL7115M00</t>
  </si>
  <si>
    <t>ME11690</t>
  </si>
  <si>
    <t>ME18510</t>
  </si>
  <si>
    <t>ME1859</t>
  </si>
  <si>
    <t>PV750500</t>
  </si>
  <si>
    <t>ARACQUACAR120</t>
  </si>
  <si>
    <t>BL67100V15</t>
  </si>
  <si>
    <t>BL8021-00</t>
  </si>
  <si>
    <t>BL8-100</t>
  </si>
  <si>
    <t>ME16103</t>
  </si>
  <si>
    <t>OT003M33</t>
  </si>
  <si>
    <t>OT003M41</t>
  </si>
  <si>
    <t>OT003M50</t>
  </si>
  <si>
    <t>TC400TX00</t>
  </si>
  <si>
    <t>TF44KM</t>
  </si>
  <si>
    <t>OT003M19</t>
  </si>
  <si>
    <t>TA82F</t>
  </si>
  <si>
    <t>TA72RJ00</t>
  </si>
  <si>
    <t>TD195OT</t>
  </si>
  <si>
    <t>BL544E-100</t>
  </si>
  <si>
    <t>BL556-100</t>
  </si>
  <si>
    <t>BL556-200</t>
  </si>
  <si>
    <t>BL7047I00</t>
  </si>
  <si>
    <t>BL7104-400</t>
  </si>
  <si>
    <t>BL7111</t>
  </si>
  <si>
    <t>BL719700</t>
  </si>
  <si>
    <t>BL7383BM00</t>
  </si>
  <si>
    <t>ME19205</t>
  </si>
  <si>
    <t>ME19207</t>
  </si>
  <si>
    <t>ME19209</t>
  </si>
  <si>
    <t>TA137R00</t>
  </si>
  <si>
    <t>TC195M01</t>
  </si>
  <si>
    <t>TC30T15</t>
  </si>
  <si>
    <t>TC40001</t>
  </si>
  <si>
    <t>TC506M08</t>
  </si>
  <si>
    <t>TC6019</t>
  </si>
  <si>
    <t>TC605M21</t>
  </si>
  <si>
    <t>TM40F</t>
  </si>
  <si>
    <t>BL61700</t>
  </si>
  <si>
    <t>BL67099F</t>
  </si>
  <si>
    <t>BL67100V10</t>
  </si>
  <si>
    <t>BL7017L00</t>
  </si>
  <si>
    <t>ME1111</t>
  </si>
  <si>
    <t>ME16105</t>
  </si>
  <si>
    <t>ME163132</t>
  </si>
  <si>
    <t>OT003M79</t>
  </si>
  <si>
    <t>TC150C03</t>
  </si>
  <si>
    <t>TC150C32</t>
  </si>
  <si>
    <t>TC400R17</t>
  </si>
  <si>
    <t>TC400R19</t>
  </si>
  <si>
    <t>TV102L</t>
  </si>
  <si>
    <t>TV605TV</t>
  </si>
  <si>
    <t>TD111M</t>
  </si>
  <si>
    <t>ARSUEÑITOS</t>
  </si>
  <si>
    <t>BL003KE</t>
  </si>
  <si>
    <t>BL080100</t>
  </si>
  <si>
    <t>BL544C-3</t>
  </si>
  <si>
    <t>BL544M-200</t>
  </si>
  <si>
    <t>BL7008A00</t>
  </si>
  <si>
    <t>BL701200</t>
  </si>
  <si>
    <t>BL7047P-100</t>
  </si>
  <si>
    <t>BL7114CX00</t>
  </si>
  <si>
    <t>BL7118B01</t>
  </si>
  <si>
    <t>BL7118B14</t>
  </si>
  <si>
    <t>BL7198V00</t>
  </si>
  <si>
    <t>BL7219P00</t>
  </si>
  <si>
    <t>SI6817</t>
  </si>
  <si>
    <t>SI6818</t>
  </si>
  <si>
    <t>TA454T</t>
  </si>
  <si>
    <t>TA456M04</t>
  </si>
  <si>
    <t>BL080300</t>
  </si>
  <si>
    <t>BL544MF-300</t>
  </si>
  <si>
    <t>BL558-200</t>
  </si>
  <si>
    <t>BL7009K00</t>
  </si>
  <si>
    <t>BL7055G00</t>
  </si>
  <si>
    <t>BL7222A00</t>
  </si>
  <si>
    <t>BL7313N00</t>
  </si>
  <si>
    <t>BL7383C-00</t>
  </si>
  <si>
    <t>BL7383P00</t>
  </si>
  <si>
    <t>BL8D-300</t>
  </si>
  <si>
    <t>BL8V-100</t>
  </si>
  <si>
    <t>BL8V-200</t>
  </si>
  <si>
    <t>ME19411</t>
  </si>
  <si>
    <t>OT05M03</t>
  </si>
  <si>
    <t>TA118S09</t>
  </si>
  <si>
    <t>TD09027</t>
  </si>
  <si>
    <t>TD37B</t>
  </si>
  <si>
    <t>ARACQUA500</t>
  </si>
  <si>
    <t>ARWAN120</t>
  </si>
  <si>
    <t>ARWANTED-60M120</t>
  </si>
  <si>
    <t>BL35022</t>
  </si>
  <si>
    <t>BL544C-00</t>
  </si>
  <si>
    <t>BL556-300</t>
  </si>
  <si>
    <t>BL557-200</t>
  </si>
  <si>
    <t>BL61300</t>
  </si>
  <si>
    <t>BL6546MC00</t>
  </si>
  <si>
    <t>BL701000</t>
  </si>
  <si>
    <t>BL7010G00</t>
  </si>
  <si>
    <t>BL7014H</t>
  </si>
  <si>
    <t>BL7019H00</t>
  </si>
  <si>
    <t>BL706900</t>
  </si>
  <si>
    <t>BL711100</t>
  </si>
  <si>
    <t>BL7198200</t>
  </si>
  <si>
    <t>BL8000MF00</t>
  </si>
  <si>
    <t>ME1115</t>
  </si>
  <si>
    <t>ME2144</t>
  </si>
  <si>
    <t>ME221765</t>
  </si>
  <si>
    <t>ME33174</t>
  </si>
  <si>
    <t>PVPB919600</t>
  </si>
  <si>
    <t>TC40003</t>
  </si>
  <si>
    <t>TC40015</t>
  </si>
  <si>
    <t>TA605LX</t>
  </si>
  <si>
    <t>TA89D00</t>
  </si>
  <si>
    <t>TA82PT21</t>
  </si>
  <si>
    <t>TD36D</t>
  </si>
  <si>
    <t>ME1934</t>
  </si>
  <si>
    <t>TF169P</t>
  </si>
  <si>
    <t>DICIEMBRE</t>
  </si>
  <si>
    <t>ENERO</t>
  </si>
  <si>
    <t>FEBRERO</t>
  </si>
  <si>
    <t>3° Semana</t>
  </si>
  <si>
    <t>4° Semana</t>
  </si>
  <si>
    <t>1° Semana</t>
  </si>
  <si>
    <t>2° Semana</t>
  </si>
  <si>
    <t>MARZO</t>
  </si>
  <si>
    <t>Cantidad de item a muestrear:</t>
  </si>
  <si>
    <t>244 Items sobrestock y sin rotacion</t>
  </si>
  <si>
    <t>S.JUAN</t>
  </si>
  <si>
    <t>Sucursal: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</si>
</sst>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name val="Calibri"/>
    </font>
    <font>
      <b/>
      <sz val="11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b/>
      <sz val="18"/>
      <name val="Calibri"/>
      <family val="2"/>
    </font>
    <font>
      <sz val="18"/>
      <name val="Calibri"/>
      <family val="2"/>
    </font>
    <font>
      <b/>
      <sz val="20"/>
      <name val="Calibri"/>
      <family val="2"/>
    </font>
    <font>
      <b/>
      <sz val="22"/>
      <name val="Calibri"/>
      <family val="2"/>
    </font>
    <font>
      <b/>
      <sz val="2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3" borderId="5" xfId="0" applyFont="1" applyFill="1" applyBorder="1" applyAlignment="1">
      <alignment horizontal="center" vertical="top"/>
    </xf>
    <xf numFmtId="0" fontId="3" fillId="3" borderId="6" xfId="0" applyFont="1" applyFill="1" applyBorder="1" applyAlignment="1">
      <alignment horizontal="center" vertical="top"/>
    </xf>
    <xf numFmtId="17" fontId="3" fillId="3" borderId="5" xfId="0" applyNumberFormat="1" applyFont="1" applyFill="1" applyBorder="1" applyAlignment="1">
      <alignment horizontal="center" vertical="top"/>
    </xf>
    <xf numFmtId="17" fontId="3" fillId="3" borderId="7" xfId="0" applyNumberFormat="1" applyFont="1" applyFill="1" applyBorder="1" applyAlignment="1">
      <alignment horizontal="center" vertical="top"/>
    </xf>
    <xf numFmtId="17" fontId="3" fillId="3" borderId="6" xfId="0" applyNumberFormat="1" applyFont="1" applyFill="1" applyBorder="1" applyAlignment="1">
      <alignment horizontal="center" vertical="top"/>
    </xf>
    <xf numFmtId="0" fontId="2" fillId="3" borderId="8" xfId="0" applyFont="1" applyFill="1" applyBorder="1" applyAlignment="1">
      <alignment horizontal="center" vertical="top"/>
    </xf>
    <xf numFmtId="0" fontId="2" fillId="3" borderId="9" xfId="0" applyFont="1" applyFill="1" applyBorder="1" applyAlignment="1">
      <alignment horizontal="center" vertical="top"/>
    </xf>
    <xf numFmtId="0" fontId="2" fillId="3" borderId="10" xfId="0" applyFont="1" applyFill="1" applyBorder="1" applyAlignment="1">
      <alignment horizontal="center" vertical="top"/>
    </xf>
    <xf numFmtId="0" fontId="0" fillId="0" borderId="11" xfId="0" applyBorder="1"/>
    <xf numFmtId="1" fontId="0" fillId="0" borderId="11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9" xfId="0" applyFont="1" applyBorder="1" applyAlignment="1">
      <alignment horizontal="center" vertical="top"/>
    </xf>
    <xf numFmtId="0" fontId="4" fillId="4" borderId="2" xfId="0" applyFont="1" applyFill="1" applyBorder="1" applyAlignment="1">
      <alignment horizontal="right" vertical="center" wrapText="1"/>
    </xf>
    <xf numFmtId="0" fontId="4" fillId="4" borderId="4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horizontal="right" vertical="center" wrapText="1"/>
    </xf>
    <xf numFmtId="0" fontId="1" fillId="4" borderId="8" xfId="0" applyFont="1" applyFill="1" applyBorder="1" applyAlignment="1">
      <alignment horizontal="center" vertical="top"/>
    </xf>
    <xf numFmtId="0" fontId="1" fillId="4" borderId="10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right" vertical="center" wrapText="1"/>
    </xf>
    <xf numFmtId="0" fontId="6" fillId="5" borderId="3" xfId="0" applyFont="1" applyFill="1" applyBorder="1" applyAlignment="1">
      <alignment horizontal="right" vertical="center" wrapText="1"/>
    </xf>
    <xf numFmtId="0" fontId="7" fillId="3" borderId="8" xfId="0" applyFont="1" applyFill="1" applyBorder="1" applyAlignment="1">
      <alignment horizontal="center" vertical="top" wrapText="1"/>
    </xf>
    <xf numFmtId="0" fontId="7" fillId="3" borderId="10" xfId="0" applyFont="1" applyFill="1" applyBorder="1" applyAlignment="1">
      <alignment horizontal="center" vertical="top" wrapText="1"/>
    </xf>
    <xf numFmtId="0" fontId="7" fillId="3" borderId="9" xfId="0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vertical="top"/>
    </xf>
    <xf numFmtId="0" fontId="8" fillId="2" borderId="4" xfId="0" applyFont="1" applyFill="1" applyBorder="1" applyAlignment="1">
      <alignment horizontal="center" vertical="top"/>
    </xf>
    <xf numFmtId="0" fontId="8" fillId="2" borderId="3" xfId="0" applyFont="1" applyFill="1" applyBorder="1" applyAlignment="1">
      <alignment horizontal="center" vertical="top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8"/>
  <sheetViews>
    <sheetView tabSelected="1" zoomScale="70" zoomScaleNormal="70" workbookViewId="0">
      <selection activeCell="D4" sqref="D4"/>
    </sheetView>
  </sheetViews>
  <sheetFormatPr baseColWidth="10" defaultColWidth="13" defaultRowHeight="15" x14ac:dyDescent="0.25"/>
  <cols>
    <col min="1" max="1" width="22.5703125" bestFit="1" customWidth="1"/>
    <col min="2" max="2" width="22" style="3" bestFit="1" customWidth="1"/>
    <col min="3" max="3" width="25.7109375" style="3" hidden="1" customWidth="1"/>
    <col min="4" max="4" width="24.28515625" style="3" bestFit="1" customWidth="1"/>
    <col min="5" max="5" width="19.42578125" hidden="1" customWidth="1"/>
  </cols>
  <sheetData>
    <row r="1" spans="1:19" ht="53.25" customHeight="1" thickBot="1" x14ac:dyDescent="0.3">
      <c r="A1" s="28" t="s">
        <v>273</v>
      </c>
      <c r="B1" s="29"/>
      <c r="C1" s="29"/>
      <c r="D1" s="30"/>
      <c r="F1" s="31">
        <f>F3+G3</f>
        <v>34</v>
      </c>
      <c r="G1" s="32"/>
      <c r="H1" s="31">
        <f>H3+I3+J3+K3</f>
        <v>68</v>
      </c>
      <c r="I1" s="33"/>
      <c r="J1" s="33"/>
      <c r="K1" s="32"/>
      <c r="L1" s="34">
        <f>L3+M3+N3+O3</f>
        <v>70</v>
      </c>
      <c r="M1" s="35"/>
      <c r="N1" s="35"/>
      <c r="O1" s="36"/>
      <c r="P1" s="34">
        <f>P3+Q3+R3+S3</f>
        <v>72</v>
      </c>
      <c r="Q1" s="35"/>
      <c r="R1" s="35"/>
      <c r="S1" s="36"/>
    </row>
    <row r="2" spans="1:19" ht="39.75" customHeight="1" thickBot="1" x14ac:dyDescent="0.3">
      <c r="A2" s="26" t="s">
        <v>275</v>
      </c>
      <c r="B2" s="27"/>
      <c r="C2" s="24" t="s">
        <v>274</v>
      </c>
      <c r="D2" s="25"/>
      <c r="F2" s="6" t="s">
        <v>264</v>
      </c>
      <c r="G2" s="7"/>
      <c r="H2" s="8" t="s">
        <v>265</v>
      </c>
      <c r="I2" s="9"/>
      <c r="J2" s="9"/>
      <c r="K2" s="10"/>
      <c r="L2" s="8" t="s">
        <v>266</v>
      </c>
      <c r="M2" s="9"/>
      <c r="N2" s="9"/>
      <c r="O2" s="10"/>
      <c r="P2" s="8" t="s">
        <v>271</v>
      </c>
      <c r="Q2" s="9"/>
      <c r="R2" s="9"/>
      <c r="S2" s="10"/>
    </row>
    <row r="3" spans="1:19" ht="51.75" customHeight="1" thickBot="1" x14ac:dyDescent="0.3">
      <c r="A3" s="19" t="s">
        <v>272</v>
      </c>
      <c r="B3" s="20"/>
      <c r="C3" s="20"/>
      <c r="D3" s="20"/>
      <c r="E3" s="21"/>
      <c r="F3" s="37">
        <v>17</v>
      </c>
      <c r="G3" s="38">
        <v>17</v>
      </c>
      <c r="H3" s="39">
        <v>17</v>
      </c>
      <c r="I3" s="38">
        <v>17</v>
      </c>
      <c r="J3" s="38">
        <v>17</v>
      </c>
      <c r="K3" s="38">
        <v>17</v>
      </c>
      <c r="L3" s="39">
        <v>17</v>
      </c>
      <c r="M3" s="38">
        <v>17</v>
      </c>
      <c r="N3" s="38">
        <v>18</v>
      </c>
      <c r="O3" s="38">
        <v>18</v>
      </c>
      <c r="P3" s="39">
        <v>18</v>
      </c>
      <c r="Q3" s="38">
        <v>18</v>
      </c>
      <c r="R3" s="38">
        <v>18</v>
      </c>
      <c r="S3" s="38">
        <v>18</v>
      </c>
    </row>
    <row r="4" spans="1:19" ht="38.25" customHeight="1" thickBot="1" x14ac:dyDescent="0.3">
      <c r="A4" s="22" t="s">
        <v>0</v>
      </c>
      <c r="B4" s="23" t="s">
        <v>1</v>
      </c>
      <c r="C4" s="23" t="s">
        <v>2</v>
      </c>
      <c r="D4" s="23" t="s">
        <v>3</v>
      </c>
      <c r="E4" s="18" t="s">
        <v>4</v>
      </c>
      <c r="F4" s="11" t="s">
        <v>267</v>
      </c>
      <c r="G4" s="12" t="s">
        <v>268</v>
      </c>
      <c r="H4" s="11" t="s">
        <v>269</v>
      </c>
      <c r="I4" s="13" t="s">
        <v>270</v>
      </c>
      <c r="J4" s="13" t="s">
        <v>267</v>
      </c>
      <c r="K4" s="12" t="s">
        <v>268</v>
      </c>
      <c r="L4" s="11" t="s">
        <v>269</v>
      </c>
      <c r="M4" s="13" t="s">
        <v>270</v>
      </c>
      <c r="N4" s="13" t="s">
        <v>267</v>
      </c>
      <c r="O4" s="12" t="s">
        <v>268</v>
      </c>
      <c r="P4" s="11" t="s">
        <v>269</v>
      </c>
      <c r="Q4" s="13" t="s">
        <v>270</v>
      </c>
      <c r="R4" s="13" t="s">
        <v>267</v>
      </c>
      <c r="S4" s="12" t="s">
        <v>268</v>
      </c>
    </row>
    <row r="5" spans="1:19" x14ac:dyDescent="0.25">
      <c r="A5" s="14" t="s">
        <v>17</v>
      </c>
      <c r="B5" s="15">
        <v>320</v>
      </c>
      <c r="C5" s="16">
        <v>32</v>
      </c>
      <c r="D5" s="17" t="s">
        <v>14</v>
      </c>
      <c r="E5" s="14" t="s">
        <v>11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 spans="1:19" x14ac:dyDescent="0.25">
      <c r="A6" s="1" t="s">
        <v>23</v>
      </c>
      <c r="B6" s="4">
        <v>191.3</v>
      </c>
      <c r="C6" s="5">
        <v>29.430769230769233</v>
      </c>
      <c r="D6" s="2" t="s">
        <v>14</v>
      </c>
      <c r="E6" s="1" t="s">
        <v>11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25">
      <c r="A7" s="1" t="s">
        <v>24</v>
      </c>
      <c r="B7" s="4">
        <v>184</v>
      </c>
      <c r="C7" s="5">
        <v>15.333333333333334</v>
      </c>
      <c r="D7" s="2" t="s">
        <v>14</v>
      </c>
      <c r="E7" s="1" t="s">
        <v>11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25">
      <c r="A8" s="1" t="s">
        <v>26</v>
      </c>
      <c r="B8" s="4">
        <v>180</v>
      </c>
      <c r="C8" s="5">
        <v>5.2631578947368416</v>
      </c>
      <c r="D8" s="2" t="s">
        <v>14</v>
      </c>
      <c r="E8" s="1" t="s">
        <v>11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25">
      <c r="A9" s="1" t="s">
        <v>31</v>
      </c>
      <c r="B9" s="4">
        <v>150</v>
      </c>
      <c r="C9" s="5">
        <v>30</v>
      </c>
      <c r="D9" s="2" t="s">
        <v>14</v>
      </c>
      <c r="E9" s="1" t="s">
        <v>11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A10" s="1" t="s">
        <v>33</v>
      </c>
      <c r="B10" s="4">
        <v>106.83000000000001</v>
      </c>
      <c r="C10" s="5">
        <v>71.220000000000013</v>
      </c>
      <c r="D10" s="2" t="s">
        <v>14</v>
      </c>
      <c r="E10" s="1" t="s">
        <v>11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25">
      <c r="A11" s="1" t="s">
        <v>39</v>
      </c>
      <c r="B11" s="4">
        <v>88</v>
      </c>
      <c r="C11" s="5">
        <v>8.8000000000000007</v>
      </c>
      <c r="D11" s="2" t="s">
        <v>14</v>
      </c>
      <c r="E11" s="1" t="s">
        <v>11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25">
      <c r="A12" s="1" t="s">
        <v>51</v>
      </c>
      <c r="B12" s="4">
        <v>52</v>
      </c>
      <c r="C12" s="5">
        <v>11.18279569892473</v>
      </c>
      <c r="D12" s="2" t="s">
        <v>14</v>
      </c>
      <c r="E12" s="1" t="s">
        <v>11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25">
      <c r="A13" s="1" t="s">
        <v>57</v>
      </c>
      <c r="B13" s="4">
        <v>43</v>
      </c>
      <c r="C13" s="5">
        <v>43</v>
      </c>
      <c r="D13" s="2" t="s">
        <v>14</v>
      </c>
      <c r="E13" s="1" t="s">
        <v>11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25">
      <c r="A14" s="1" t="s">
        <v>59</v>
      </c>
      <c r="B14" s="4">
        <v>41.1</v>
      </c>
      <c r="C14" s="5">
        <v>9.5581395348837219</v>
      </c>
      <c r="D14" s="2" t="s">
        <v>14</v>
      </c>
      <c r="E14" s="1" t="s">
        <v>11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25">
      <c r="A15" s="1" t="s">
        <v>72</v>
      </c>
      <c r="B15" s="4">
        <v>29</v>
      </c>
      <c r="C15" s="5">
        <v>14.5</v>
      </c>
      <c r="D15" s="2" t="s">
        <v>14</v>
      </c>
      <c r="E15" s="1" t="s">
        <v>11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5">
      <c r="A16" s="1" t="s">
        <v>78</v>
      </c>
      <c r="B16" s="4">
        <v>24</v>
      </c>
      <c r="C16" s="5">
        <v>12</v>
      </c>
      <c r="D16" s="2" t="s">
        <v>14</v>
      </c>
      <c r="E16" s="1" t="s">
        <v>11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5">
      <c r="A17" s="1" t="s">
        <v>101</v>
      </c>
      <c r="B17" s="4">
        <v>17.5</v>
      </c>
      <c r="C17" s="5">
        <v>12.5</v>
      </c>
      <c r="D17" s="2" t="s">
        <v>14</v>
      </c>
      <c r="E17" s="1" t="s">
        <v>11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 s="1" t="s">
        <v>106</v>
      </c>
      <c r="B18" s="4">
        <v>16</v>
      </c>
      <c r="C18" s="5">
        <v>5.333333333333333</v>
      </c>
      <c r="D18" s="2" t="s">
        <v>14</v>
      </c>
      <c r="E18" s="1" t="s">
        <v>11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5">
      <c r="A19" s="1" t="s">
        <v>115</v>
      </c>
      <c r="B19" s="4">
        <v>13.45</v>
      </c>
      <c r="C19" s="5">
        <v>13.058252427184465</v>
      </c>
      <c r="D19" s="2" t="s">
        <v>14</v>
      </c>
      <c r="E19" s="1" t="s">
        <v>11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5">
      <c r="A20" s="1" t="s">
        <v>119</v>
      </c>
      <c r="B20" s="4">
        <v>13</v>
      </c>
      <c r="C20" s="5">
        <v>13</v>
      </c>
      <c r="D20" s="2" t="s">
        <v>14</v>
      </c>
      <c r="E20" s="1" t="s">
        <v>11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5">
      <c r="A21" s="1" t="s">
        <v>124</v>
      </c>
      <c r="B21" s="4">
        <v>12</v>
      </c>
      <c r="C21" s="5">
        <v>4</v>
      </c>
      <c r="D21" s="2" t="s">
        <v>14</v>
      </c>
      <c r="E21" s="1" t="s">
        <v>11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5">
      <c r="A22" s="1" t="s">
        <v>127</v>
      </c>
      <c r="B22" s="4">
        <v>11</v>
      </c>
      <c r="C22" s="5">
        <v>11</v>
      </c>
      <c r="D22" s="2" t="s">
        <v>14</v>
      </c>
      <c r="E22" s="1" t="s">
        <v>11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5">
      <c r="A23" s="1" t="s">
        <v>128</v>
      </c>
      <c r="B23" s="4">
        <v>11</v>
      </c>
      <c r="C23" s="5">
        <v>5.5</v>
      </c>
      <c r="D23" s="2" t="s">
        <v>14</v>
      </c>
      <c r="E23" s="1" t="s">
        <v>11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5">
      <c r="A24" s="1" t="s">
        <v>134</v>
      </c>
      <c r="B24" s="4">
        <v>10</v>
      </c>
      <c r="C24" s="5">
        <v>10</v>
      </c>
      <c r="D24" s="2" t="s">
        <v>14</v>
      </c>
      <c r="E24" s="1" t="s">
        <v>11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5">
      <c r="A25" s="1" t="s">
        <v>141</v>
      </c>
      <c r="B25" s="4">
        <v>10</v>
      </c>
      <c r="C25" s="5">
        <v>5</v>
      </c>
      <c r="D25" s="2" t="s">
        <v>14</v>
      </c>
      <c r="E25" s="1" t="s">
        <v>11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 s="1" t="s">
        <v>142</v>
      </c>
      <c r="B26" s="4">
        <v>10</v>
      </c>
      <c r="C26" s="5">
        <v>10</v>
      </c>
      <c r="D26" s="2" t="s">
        <v>14</v>
      </c>
      <c r="E26" s="1" t="s">
        <v>11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25">
      <c r="A27" s="1" t="s">
        <v>148</v>
      </c>
      <c r="B27" s="4">
        <v>9</v>
      </c>
      <c r="C27" s="5">
        <v>9</v>
      </c>
      <c r="D27" s="2" t="s">
        <v>14</v>
      </c>
      <c r="E27" s="1" t="s">
        <v>11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5">
      <c r="A28" s="1" t="s">
        <v>152</v>
      </c>
      <c r="B28" s="4">
        <v>8</v>
      </c>
      <c r="C28" s="5">
        <v>4</v>
      </c>
      <c r="D28" s="2" t="s">
        <v>14</v>
      </c>
      <c r="E28" s="1" t="s">
        <v>11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25">
      <c r="A29" s="1" t="s">
        <v>154</v>
      </c>
      <c r="B29" s="4">
        <v>8</v>
      </c>
      <c r="C29" s="5">
        <v>8</v>
      </c>
      <c r="D29" s="2" t="s">
        <v>14</v>
      </c>
      <c r="E29" s="1" t="s">
        <v>11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25">
      <c r="A30" s="1" t="s">
        <v>182</v>
      </c>
      <c r="B30" s="4">
        <v>6</v>
      </c>
      <c r="C30" s="5">
        <v>6</v>
      </c>
      <c r="D30" s="2" t="s">
        <v>14</v>
      </c>
      <c r="E30" s="1" t="s">
        <v>11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25">
      <c r="A31" s="1" t="s">
        <v>195</v>
      </c>
      <c r="B31" s="4">
        <v>5</v>
      </c>
      <c r="C31" s="5">
        <v>5</v>
      </c>
      <c r="D31" s="2" t="s">
        <v>14</v>
      </c>
      <c r="E31" s="1" t="s">
        <v>11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25">
      <c r="A32" s="1" t="s">
        <v>200</v>
      </c>
      <c r="B32" s="4">
        <v>4</v>
      </c>
      <c r="C32" s="5">
        <v>4</v>
      </c>
      <c r="D32" s="2" t="s">
        <v>14</v>
      </c>
      <c r="E32" s="1" t="s">
        <v>11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25">
      <c r="A33" s="1" t="s">
        <v>203</v>
      </c>
      <c r="B33" s="4">
        <v>4</v>
      </c>
      <c r="C33" s="5">
        <v>4</v>
      </c>
      <c r="D33" s="2" t="s">
        <v>14</v>
      </c>
      <c r="E33" s="1" t="s">
        <v>11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25">
      <c r="A34" s="1" t="s">
        <v>209</v>
      </c>
      <c r="B34" s="4">
        <v>4</v>
      </c>
      <c r="C34" s="5">
        <v>4</v>
      </c>
      <c r="D34" s="2" t="s">
        <v>14</v>
      </c>
      <c r="E34" s="1" t="s">
        <v>11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5">
      <c r="A35" s="1" t="s">
        <v>211</v>
      </c>
      <c r="B35" s="4">
        <v>4</v>
      </c>
      <c r="C35" s="5">
        <v>4</v>
      </c>
      <c r="D35" s="2" t="s">
        <v>14</v>
      </c>
      <c r="E35" s="1" t="s">
        <v>11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25">
      <c r="A36" s="1" t="s">
        <v>212</v>
      </c>
      <c r="B36" s="4">
        <v>4</v>
      </c>
      <c r="C36" s="5">
        <v>4</v>
      </c>
      <c r="D36" s="2" t="s">
        <v>14</v>
      </c>
      <c r="E36" s="1" t="s">
        <v>11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25">
      <c r="A37" s="1" t="s">
        <v>213</v>
      </c>
      <c r="B37" s="4">
        <v>4</v>
      </c>
      <c r="C37" s="5">
        <v>4</v>
      </c>
      <c r="D37" s="2" t="s">
        <v>14</v>
      </c>
      <c r="E37" s="1" t="s">
        <v>11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25">
      <c r="A38" s="1" t="s">
        <v>114</v>
      </c>
      <c r="B38" s="4">
        <v>14</v>
      </c>
      <c r="C38" s="5">
        <v>4.666666666666667</v>
      </c>
      <c r="D38" s="2" t="s">
        <v>14</v>
      </c>
      <c r="E38" s="1" t="s">
        <v>38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25">
      <c r="A39" s="1" t="s">
        <v>47</v>
      </c>
      <c r="B39" s="4">
        <v>60</v>
      </c>
      <c r="C39" s="5">
        <v>0</v>
      </c>
      <c r="D39" s="2" t="s">
        <v>14</v>
      </c>
      <c r="E39" s="1" t="s">
        <v>38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25">
      <c r="A40" s="1" t="s">
        <v>77</v>
      </c>
      <c r="B40" s="4">
        <v>25.1</v>
      </c>
      <c r="C40" s="5">
        <v>0</v>
      </c>
      <c r="D40" s="2" t="s">
        <v>14</v>
      </c>
      <c r="E40" s="1" t="s">
        <v>38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25">
      <c r="A41" s="1" t="s">
        <v>84</v>
      </c>
      <c r="B41" s="4">
        <v>21.3</v>
      </c>
      <c r="C41" s="5">
        <v>0</v>
      </c>
      <c r="D41" s="2" t="s">
        <v>14</v>
      </c>
      <c r="E41" s="1" t="s">
        <v>38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25">
      <c r="A42" s="1" t="s">
        <v>86</v>
      </c>
      <c r="B42" s="4">
        <v>20</v>
      </c>
      <c r="C42" s="5">
        <v>0</v>
      </c>
      <c r="D42" s="2" t="s">
        <v>14</v>
      </c>
      <c r="E42" s="1" t="s">
        <v>38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25">
      <c r="A43" s="1" t="s">
        <v>91</v>
      </c>
      <c r="B43" s="4">
        <v>20</v>
      </c>
      <c r="C43" s="5">
        <v>0</v>
      </c>
      <c r="D43" s="2" t="s">
        <v>14</v>
      </c>
      <c r="E43" s="1" t="s">
        <v>38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25">
      <c r="A44" s="1" t="s">
        <v>92</v>
      </c>
      <c r="B44" s="4">
        <v>20</v>
      </c>
      <c r="C44" s="5">
        <v>0</v>
      </c>
      <c r="D44" s="2" t="s">
        <v>14</v>
      </c>
      <c r="E44" s="1" t="s">
        <v>38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25">
      <c r="A45" s="1" t="s">
        <v>94</v>
      </c>
      <c r="B45" s="4">
        <v>19</v>
      </c>
      <c r="C45" s="5">
        <v>0</v>
      </c>
      <c r="D45" s="2" t="s">
        <v>14</v>
      </c>
      <c r="E45" s="1" t="s">
        <v>38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25">
      <c r="A46" s="1" t="s">
        <v>122</v>
      </c>
      <c r="B46" s="4">
        <v>12</v>
      </c>
      <c r="C46" s="5">
        <v>0</v>
      </c>
      <c r="D46" s="2" t="s">
        <v>14</v>
      </c>
      <c r="E46" s="1" t="s">
        <v>38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25">
      <c r="A47" s="1" t="s">
        <v>126</v>
      </c>
      <c r="B47" s="4">
        <v>11.25</v>
      </c>
      <c r="C47" s="5">
        <v>0</v>
      </c>
      <c r="D47" s="2" t="s">
        <v>14</v>
      </c>
      <c r="E47" s="1" t="s">
        <v>38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25">
      <c r="A48" s="1" t="s">
        <v>132</v>
      </c>
      <c r="B48" s="4">
        <v>11</v>
      </c>
      <c r="C48" s="5">
        <v>0</v>
      </c>
      <c r="D48" s="2" t="s">
        <v>14</v>
      </c>
      <c r="E48" s="1" t="s">
        <v>38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25">
      <c r="A49" s="1" t="s">
        <v>135</v>
      </c>
      <c r="B49" s="4">
        <v>10</v>
      </c>
      <c r="C49" s="5">
        <v>0.76923076923076927</v>
      </c>
      <c r="D49" s="2" t="s">
        <v>14</v>
      </c>
      <c r="E49" s="1" t="s">
        <v>38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25">
      <c r="A50" s="1" t="s">
        <v>136</v>
      </c>
      <c r="B50" s="4">
        <v>10</v>
      </c>
      <c r="C50" s="5">
        <v>0</v>
      </c>
      <c r="D50" s="2" t="s">
        <v>14</v>
      </c>
      <c r="E50" s="1" t="s">
        <v>38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25">
      <c r="A51" s="1" t="s">
        <v>139</v>
      </c>
      <c r="B51" s="4">
        <v>10</v>
      </c>
      <c r="C51" s="5">
        <v>0</v>
      </c>
      <c r="D51" s="2" t="s">
        <v>14</v>
      </c>
      <c r="E51" s="1" t="s">
        <v>38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25">
      <c r="A52" s="1" t="s">
        <v>156</v>
      </c>
      <c r="B52" s="4">
        <v>8</v>
      </c>
      <c r="C52" s="5">
        <v>0</v>
      </c>
      <c r="D52" s="2" t="s">
        <v>14</v>
      </c>
      <c r="E52" s="1" t="s">
        <v>38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25">
      <c r="A53" s="1" t="s">
        <v>167</v>
      </c>
      <c r="B53" s="4">
        <v>6</v>
      </c>
      <c r="C53" s="5">
        <v>0</v>
      </c>
      <c r="D53" s="2" t="s">
        <v>14</v>
      </c>
      <c r="E53" s="1" t="s">
        <v>38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25">
      <c r="A54" s="1" t="s">
        <v>169</v>
      </c>
      <c r="B54" s="4">
        <v>6</v>
      </c>
      <c r="C54" s="5">
        <v>0</v>
      </c>
      <c r="D54" s="2" t="s">
        <v>14</v>
      </c>
      <c r="E54" s="1" t="s">
        <v>38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25">
      <c r="A55" s="1" t="s">
        <v>173</v>
      </c>
      <c r="B55" s="4">
        <v>6</v>
      </c>
      <c r="C55" s="5">
        <v>0</v>
      </c>
      <c r="D55" s="2" t="s">
        <v>14</v>
      </c>
      <c r="E55" s="1" t="s">
        <v>38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25">
      <c r="A56" s="1" t="s">
        <v>174</v>
      </c>
      <c r="B56" s="4">
        <v>6</v>
      </c>
      <c r="C56" s="5">
        <v>0</v>
      </c>
      <c r="D56" s="2" t="s">
        <v>14</v>
      </c>
      <c r="E56" s="1" t="s">
        <v>38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25">
      <c r="A57" s="1" t="s">
        <v>175</v>
      </c>
      <c r="B57" s="4">
        <v>6</v>
      </c>
      <c r="C57" s="5">
        <v>0</v>
      </c>
      <c r="D57" s="2" t="s">
        <v>14</v>
      </c>
      <c r="E57" s="1" t="s">
        <v>38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25">
      <c r="A58" s="1" t="s">
        <v>176</v>
      </c>
      <c r="B58" s="4">
        <v>6</v>
      </c>
      <c r="C58" s="5">
        <v>0</v>
      </c>
      <c r="D58" s="2" t="s">
        <v>14</v>
      </c>
      <c r="E58" s="1" t="s">
        <v>38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25">
      <c r="A59" s="1" t="s">
        <v>181</v>
      </c>
      <c r="B59" s="4">
        <v>6</v>
      </c>
      <c r="C59" s="5">
        <v>0</v>
      </c>
      <c r="D59" s="2" t="s">
        <v>14</v>
      </c>
      <c r="E59" s="1" t="s">
        <v>38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x14ac:dyDescent="0.25">
      <c r="A60" s="1" t="s">
        <v>188</v>
      </c>
      <c r="B60" s="4">
        <v>5</v>
      </c>
      <c r="C60" s="5">
        <v>0</v>
      </c>
      <c r="D60" s="2" t="s">
        <v>14</v>
      </c>
      <c r="E60" s="1" t="s">
        <v>38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x14ac:dyDescent="0.25">
      <c r="A61" s="1" t="s">
        <v>189</v>
      </c>
      <c r="B61" s="4">
        <v>5</v>
      </c>
      <c r="C61" s="5">
        <v>0</v>
      </c>
      <c r="D61" s="2" t="s">
        <v>14</v>
      </c>
      <c r="E61" s="1" t="s">
        <v>38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x14ac:dyDescent="0.25">
      <c r="A62" s="1" t="s">
        <v>190</v>
      </c>
      <c r="B62" s="4">
        <v>5</v>
      </c>
      <c r="C62" s="5">
        <v>0</v>
      </c>
      <c r="D62" s="2" t="s">
        <v>14</v>
      </c>
      <c r="E62" s="1" t="s">
        <v>38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x14ac:dyDescent="0.25">
      <c r="A63" s="1" t="s">
        <v>196</v>
      </c>
      <c r="B63" s="4">
        <v>5</v>
      </c>
      <c r="C63" s="5">
        <v>0</v>
      </c>
      <c r="D63" s="2" t="s">
        <v>14</v>
      </c>
      <c r="E63" s="1" t="s">
        <v>38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x14ac:dyDescent="0.25">
      <c r="A64" s="1" t="s">
        <v>198</v>
      </c>
      <c r="B64" s="4">
        <v>4.91</v>
      </c>
      <c r="C64" s="5">
        <v>0</v>
      </c>
      <c r="D64" s="2" t="s">
        <v>14</v>
      </c>
      <c r="E64" s="1" t="s">
        <v>38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x14ac:dyDescent="0.25">
      <c r="A65" s="1" t="s">
        <v>199</v>
      </c>
      <c r="B65" s="4">
        <v>4.1100000000000003</v>
      </c>
      <c r="C65" s="5">
        <v>0</v>
      </c>
      <c r="D65" s="2" t="s">
        <v>14</v>
      </c>
      <c r="E65" s="1" t="s">
        <v>38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x14ac:dyDescent="0.25">
      <c r="A66" s="1" t="s">
        <v>202</v>
      </c>
      <c r="B66" s="4">
        <v>4</v>
      </c>
      <c r="C66" s="5">
        <v>0</v>
      </c>
      <c r="D66" s="2" t="s">
        <v>14</v>
      </c>
      <c r="E66" s="1" t="s">
        <v>38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x14ac:dyDescent="0.25">
      <c r="A67" s="1" t="s">
        <v>204</v>
      </c>
      <c r="B67" s="4">
        <v>4</v>
      </c>
      <c r="C67" s="5">
        <v>0</v>
      </c>
      <c r="D67" s="2" t="s">
        <v>14</v>
      </c>
      <c r="E67" s="1" t="s">
        <v>38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x14ac:dyDescent="0.25">
      <c r="A68" s="1" t="s">
        <v>206</v>
      </c>
      <c r="B68" s="4">
        <v>4</v>
      </c>
      <c r="C68" s="5">
        <v>0</v>
      </c>
      <c r="D68" s="2" t="s">
        <v>14</v>
      </c>
      <c r="E68" s="1" t="s">
        <v>38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x14ac:dyDescent="0.25">
      <c r="A69" s="1" t="s">
        <v>208</v>
      </c>
      <c r="B69" s="4">
        <v>4</v>
      </c>
      <c r="C69" s="5">
        <v>0</v>
      </c>
      <c r="D69" s="2" t="s">
        <v>14</v>
      </c>
      <c r="E69" s="1" t="s">
        <v>38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x14ac:dyDescent="0.25">
      <c r="A70" s="1" t="s">
        <v>210</v>
      </c>
      <c r="B70" s="4">
        <v>4</v>
      </c>
      <c r="C70" s="5">
        <v>0.18181818181818182</v>
      </c>
      <c r="D70" s="2" t="s">
        <v>14</v>
      </c>
      <c r="E70" s="1" t="s">
        <v>38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x14ac:dyDescent="0.25">
      <c r="A71" s="1" t="s">
        <v>214</v>
      </c>
      <c r="B71" s="4">
        <v>4</v>
      </c>
      <c r="C71" s="5">
        <v>0</v>
      </c>
      <c r="D71" s="2" t="s">
        <v>14</v>
      </c>
      <c r="E71" s="1" t="s">
        <v>38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x14ac:dyDescent="0.25">
      <c r="A72" s="1" t="s">
        <v>215</v>
      </c>
      <c r="B72" s="4">
        <v>3.67</v>
      </c>
      <c r="C72" s="5">
        <v>0</v>
      </c>
      <c r="D72" s="2" t="s">
        <v>14</v>
      </c>
      <c r="E72" s="1" t="s">
        <v>38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x14ac:dyDescent="0.25">
      <c r="A73" s="1" t="s">
        <v>216</v>
      </c>
      <c r="B73" s="4">
        <v>3.0049999999999999</v>
      </c>
      <c r="C73" s="5">
        <v>0</v>
      </c>
      <c r="D73" s="2" t="s">
        <v>14</v>
      </c>
      <c r="E73" s="1" t="s">
        <v>38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x14ac:dyDescent="0.25">
      <c r="A74" s="1" t="s">
        <v>219</v>
      </c>
      <c r="B74" s="4">
        <v>3</v>
      </c>
      <c r="C74" s="5">
        <v>0</v>
      </c>
      <c r="D74" s="2" t="s">
        <v>14</v>
      </c>
      <c r="E74" s="1" t="s">
        <v>38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x14ac:dyDescent="0.25">
      <c r="A75" s="1" t="s">
        <v>220</v>
      </c>
      <c r="B75" s="4">
        <v>3</v>
      </c>
      <c r="C75" s="5">
        <v>0.6</v>
      </c>
      <c r="D75" s="2" t="s">
        <v>14</v>
      </c>
      <c r="E75" s="1" t="s">
        <v>38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x14ac:dyDescent="0.25">
      <c r="A76" s="1" t="s">
        <v>221</v>
      </c>
      <c r="B76" s="4">
        <v>3</v>
      </c>
      <c r="C76" s="5">
        <v>0</v>
      </c>
      <c r="D76" s="2" t="s">
        <v>14</v>
      </c>
      <c r="E76" s="1" t="s">
        <v>38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x14ac:dyDescent="0.25">
      <c r="A77" s="1" t="s">
        <v>222</v>
      </c>
      <c r="B77" s="4">
        <v>3</v>
      </c>
      <c r="C77" s="5">
        <v>0</v>
      </c>
      <c r="D77" s="2" t="s">
        <v>14</v>
      </c>
      <c r="E77" s="1" t="s">
        <v>38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x14ac:dyDescent="0.25">
      <c r="A78" s="1" t="s">
        <v>226</v>
      </c>
      <c r="B78" s="4">
        <v>3</v>
      </c>
      <c r="C78" s="5">
        <v>0</v>
      </c>
      <c r="D78" s="2" t="s">
        <v>14</v>
      </c>
      <c r="E78" s="1" t="s">
        <v>38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x14ac:dyDescent="0.25">
      <c r="A79" s="1" t="s">
        <v>229</v>
      </c>
      <c r="B79" s="4">
        <v>3</v>
      </c>
      <c r="C79" s="5">
        <v>0.75</v>
      </c>
      <c r="D79" s="2" t="s">
        <v>14</v>
      </c>
      <c r="E79" s="1" t="s">
        <v>38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x14ac:dyDescent="0.25">
      <c r="A80" s="1" t="s">
        <v>231</v>
      </c>
      <c r="B80" s="4">
        <v>2.5499999999999998</v>
      </c>
      <c r="C80" s="5">
        <v>0</v>
      </c>
      <c r="D80" s="2" t="s">
        <v>14</v>
      </c>
      <c r="E80" s="1" t="s">
        <v>38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x14ac:dyDescent="0.25">
      <c r="A81" s="1" t="s">
        <v>232</v>
      </c>
      <c r="B81" s="4">
        <v>2.44</v>
      </c>
      <c r="C81" s="5">
        <v>0</v>
      </c>
      <c r="D81" s="2" t="s">
        <v>14</v>
      </c>
      <c r="E81" s="1" t="s">
        <v>38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x14ac:dyDescent="0.25">
      <c r="A82" s="1" t="s">
        <v>233</v>
      </c>
      <c r="B82" s="4">
        <v>2.04</v>
      </c>
      <c r="C82" s="5">
        <v>0</v>
      </c>
      <c r="D82" s="2" t="s">
        <v>14</v>
      </c>
      <c r="E82" s="1" t="s">
        <v>38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x14ac:dyDescent="0.25">
      <c r="A83" s="1" t="s">
        <v>234</v>
      </c>
      <c r="B83" s="4">
        <v>2</v>
      </c>
      <c r="C83" s="5">
        <v>0</v>
      </c>
      <c r="D83" s="2" t="s">
        <v>14</v>
      </c>
      <c r="E83" s="1" t="s">
        <v>38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x14ac:dyDescent="0.25">
      <c r="A84" s="1" t="s">
        <v>235</v>
      </c>
      <c r="B84" s="4">
        <v>2</v>
      </c>
      <c r="C84" s="5">
        <v>0</v>
      </c>
      <c r="D84" s="2" t="s">
        <v>14</v>
      </c>
      <c r="E84" s="1" t="s">
        <v>38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x14ac:dyDescent="0.25">
      <c r="A85" s="1" t="s">
        <v>236</v>
      </c>
      <c r="B85" s="4">
        <v>2</v>
      </c>
      <c r="C85" s="5">
        <v>0</v>
      </c>
      <c r="D85" s="2" t="s">
        <v>14</v>
      </c>
      <c r="E85" s="1" t="s">
        <v>38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x14ac:dyDescent="0.25">
      <c r="A86" s="1" t="s">
        <v>237</v>
      </c>
      <c r="B86" s="4">
        <v>2</v>
      </c>
      <c r="C86" s="5">
        <v>0</v>
      </c>
      <c r="D86" s="2" t="s">
        <v>14</v>
      </c>
      <c r="E86" s="1" t="s">
        <v>38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x14ac:dyDescent="0.25">
      <c r="A87" s="1" t="s">
        <v>238</v>
      </c>
      <c r="B87" s="4">
        <v>2</v>
      </c>
      <c r="C87" s="5">
        <v>0</v>
      </c>
      <c r="D87" s="2" t="s">
        <v>14</v>
      </c>
      <c r="E87" s="1" t="s">
        <v>38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x14ac:dyDescent="0.25">
      <c r="A88" s="1" t="s">
        <v>239</v>
      </c>
      <c r="B88" s="4">
        <v>2</v>
      </c>
      <c r="C88" s="5">
        <v>0</v>
      </c>
      <c r="D88" s="2" t="s">
        <v>14</v>
      </c>
      <c r="E88" s="1" t="s">
        <v>38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x14ac:dyDescent="0.25">
      <c r="A89" s="1" t="s">
        <v>241</v>
      </c>
      <c r="B89" s="4">
        <v>2</v>
      </c>
      <c r="C89" s="5">
        <v>0</v>
      </c>
      <c r="D89" s="2" t="s">
        <v>14</v>
      </c>
      <c r="E89" s="1" t="s">
        <v>38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x14ac:dyDescent="0.25">
      <c r="A90" s="1" t="s">
        <v>242</v>
      </c>
      <c r="B90" s="4">
        <v>2</v>
      </c>
      <c r="C90" s="5">
        <v>0</v>
      </c>
      <c r="D90" s="2" t="s">
        <v>14</v>
      </c>
      <c r="E90" s="1" t="s">
        <v>38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x14ac:dyDescent="0.25">
      <c r="A91" s="1" t="s">
        <v>244</v>
      </c>
      <c r="B91" s="4">
        <v>2</v>
      </c>
      <c r="C91" s="5">
        <v>0</v>
      </c>
      <c r="D91" s="2" t="s">
        <v>14</v>
      </c>
      <c r="E91" s="1" t="s">
        <v>38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x14ac:dyDescent="0.25">
      <c r="A92" s="1" t="s">
        <v>245</v>
      </c>
      <c r="B92" s="4">
        <v>2</v>
      </c>
      <c r="C92" s="5">
        <v>0</v>
      </c>
      <c r="D92" s="2" t="s">
        <v>14</v>
      </c>
      <c r="E92" s="1" t="s">
        <v>38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x14ac:dyDescent="0.25">
      <c r="A93" s="1" t="s">
        <v>248</v>
      </c>
      <c r="B93" s="4">
        <v>2</v>
      </c>
      <c r="C93" s="5">
        <v>0</v>
      </c>
      <c r="D93" s="2" t="s">
        <v>14</v>
      </c>
      <c r="E93" s="1" t="s">
        <v>38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x14ac:dyDescent="0.25">
      <c r="A94" s="1" t="s">
        <v>249</v>
      </c>
      <c r="B94" s="4">
        <v>2</v>
      </c>
      <c r="C94" s="5">
        <v>0</v>
      </c>
      <c r="D94" s="2" t="s">
        <v>14</v>
      </c>
      <c r="E94" s="1" t="s">
        <v>38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x14ac:dyDescent="0.25">
      <c r="A95" s="1" t="s">
        <v>251</v>
      </c>
      <c r="B95" s="4">
        <v>2</v>
      </c>
      <c r="C95" s="5">
        <v>0</v>
      </c>
      <c r="D95" s="2" t="s">
        <v>14</v>
      </c>
      <c r="E95" s="1" t="s">
        <v>38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x14ac:dyDescent="0.25">
      <c r="A96" s="1" t="s">
        <v>252</v>
      </c>
      <c r="B96" s="4">
        <v>2</v>
      </c>
      <c r="C96" s="5">
        <v>0</v>
      </c>
      <c r="D96" s="2" t="s">
        <v>14</v>
      </c>
      <c r="E96" s="1" t="s">
        <v>38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x14ac:dyDescent="0.25">
      <c r="A97" s="1" t="s">
        <v>253</v>
      </c>
      <c r="B97" s="4">
        <v>2</v>
      </c>
      <c r="C97" s="5">
        <v>0</v>
      </c>
      <c r="D97" s="2" t="s">
        <v>14</v>
      </c>
      <c r="E97" s="1" t="s">
        <v>38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x14ac:dyDescent="0.25">
      <c r="A98" s="1" t="s">
        <v>254</v>
      </c>
      <c r="B98" s="4">
        <v>2</v>
      </c>
      <c r="C98" s="5">
        <v>0</v>
      </c>
      <c r="D98" s="2" t="s">
        <v>14</v>
      </c>
      <c r="E98" s="1" t="s">
        <v>38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x14ac:dyDescent="0.25">
      <c r="A99" s="1" t="s">
        <v>261</v>
      </c>
      <c r="B99" s="4">
        <v>1.1499999999999999</v>
      </c>
      <c r="C99" s="5">
        <v>0</v>
      </c>
      <c r="D99" s="2" t="s">
        <v>14</v>
      </c>
      <c r="E99" s="1" t="s">
        <v>38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x14ac:dyDescent="0.25">
      <c r="A100" s="1" t="s">
        <v>263</v>
      </c>
      <c r="B100" s="4">
        <v>1.02</v>
      </c>
      <c r="C100" s="5">
        <v>0</v>
      </c>
      <c r="D100" s="2" t="s">
        <v>14</v>
      </c>
      <c r="E100" s="1" t="s">
        <v>38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x14ac:dyDescent="0.25">
      <c r="A101" s="1" t="s">
        <v>10</v>
      </c>
      <c r="B101" s="4">
        <v>1107.54</v>
      </c>
      <c r="C101" s="5">
        <v>10.317093619003259</v>
      </c>
      <c r="D101" s="2" t="s">
        <v>7</v>
      </c>
      <c r="E101" s="1" t="s">
        <v>11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x14ac:dyDescent="0.25">
      <c r="A102" s="1" t="s">
        <v>13</v>
      </c>
      <c r="B102" s="4">
        <v>461.49999999999994</v>
      </c>
      <c r="C102" s="5">
        <v>4.1662905118714448</v>
      </c>
      <c r="D102" s="2" t="s">
        <v>7</v>
      </c>
      <c r="E102" s="1" t="s">
        <v>11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x14ac:dyDescent="0.25">
      <c r="A103" s="1" t="s">
        <v>18</v>
      </c>
      <c r="B103" s="4">
        <v>293</v>
      </c>
      <c r="C103" s="5">
        <v>10.244755244755245</v>
      </c>
      <c r="D103" s="2" t="s">
        <v>7</v>
      </c>
      <c r="E103" s="1" t="s">
        <v>11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x14ac:dyDescent="0.25">
      <c r="A104" s="1" t="s">
        <v>20</v>
      </c>
      <c r="B104" s="4">
        <v>261.2</v>
      </c>
      <c r="C104" s="5">
        <v>81.118012422360252</v>
      </c>
      <c r="D104" s="2" t="s">
        <v>7</v>
      </c>
      <c r="E104" s="1" t="s">
        <v>11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x14ac:dyDescent="0.25">
      <c r="A105" s="1" t="s">
        <v>25</v>
      </c>
      <c r="B105" s="4">
        <v>180</v>
      </c>
      <c r="C105" s="5">
        <v>138.46153846153845</v>
      </c>
      <c r="D105" s="2" t="s">
        <v>7</v>
      </c>
      <c r="E105" s="1" t="s">
        <v>11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x14ac:dyDescent="0.25">
      <c r="A106" s="1" t="s">
        <v>35</v>
      </c>
      <c r="B106" s="4">
        <v>95.14</v>
      </c>
      <c r="C106" s="5">
        <v>190.28</v>
      </c>
      <c r="D106" s="2" t="s">
        <v>7</v>
      </c>
      <c r="E106" s="1" t="s">
        <v>11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x14ac:dyDescent="0.25">
      <c r="A107" s="1" t="s">
        <v>41</v>
      </c>
      <c r="B107" s="4">
        <v>73.709999999999994</v>
      </c>
      <c r="C107" s="5">
        <v>4.4672727272727268</v>
      </c>
      <c r="D107" s="2" t="s">
        <v>7</v>
      </c>
      <c r="E107" s="1" t="s">
        <v>11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x14ac:dyDescent="0.25">
      <c r="A108" s="1" t="s">
        <v>48</v>
      </c>
      <c r="B108" s="4">
        <v>57</v>
      </c>
      <c r="C108" s="5">
        <v>57</v>
      </c>
      <c r="D108" s="2" t="s">
        <v>7</v>
      </c>
      <c r="E108" s="1" t="s">
        <v>11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x14ac:dyDescent="0.25">
      <c r="A109" s="1" t="s">
        <v>49</v>
      </c>
      <c r="B109" s="4">
        <v>52</v>
      </c>
      <c r="C109" s="5">
        <v>8.6666666666666661</v>
      </c>
      <c r="D109" s="2" t="s">
        <v>7</v>
      </c>
      <c r="E109" s="1" t="s">
        <v>11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x14ac:dyDescent="0.25">
      <c r="A110" s="1" t="s">
        <v>50</v>
      </c>
      <c r="B110" s="4">
        <v>52</v>
      </c>
      <c r="C110" s="5">
        <v>52</v>
      </c>
      <c r="D110" s="2" t="s">
        <v>7</v>
      </c>
      <c r="E110" s="1" t="s">
        <v>11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x14ac:dyDescent="0.25">
      <c r="A111" s="1" t="s">
        <v>52</v>
      </c>
      <c r="B111" s="4">
        <v>51</v>
      </c>
      <c r="C111" s="5">
        <v>12.75</v>
      </c>
      <c r="D111" s="2" t="s">
        <v>7</v>
      </c>
      <c r="E111" s="1" t="s">
        <v>11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x14ac:dyDescent="0.25">
      <c r="A112" s="1" t="s">
        <v>53</v>
      </c>
      <c r="B112" s="4">
        <v>49</v>
      </c>
      <c r="C112" s="5">
        <v>16.333333333333332</v>
      </c>
      <c r="D112" s="2" t="s">
        <v>7</v>
      </c>
      <c r="E112" s="1" t="s">
        <v>11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x14ac:dyDescent="0.25">
      <c r="A113" s="1" t="s">
        <v>56</v>
      </c>
      <c r="B113" s="4">
        <v>44</v>
      </c>
      <c r="C113" s="5">
        <v>22</v>
      </c>
      <c r="D113" s="2" t="s">
        <v>7</v>
      </c>
      <c r="E113" s="1" t="s">
        <v>11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x14ac:dyDescent="0.25">
      <c r="A114" s="1" t="s">
        <v>60</v>
      </c>
      <c r="B114" s="4">
        <v>41</v>
      </c>
      <c r="C114" s="5">
        <v>13.666666666666666</v>
      </c>
      <c r="D114" s="2" t="s">
        <v>7</v>
      </c>
      <c r="E114" s="1" t="s">
        <v>11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x14ac:dyDescent="0.25">
      <c r="A115" s="1" t="s">
        <v>65</v>
      </c>
      <c r="B115" s="4">
        <v>33.76</v>
      </c>
      <c r="C115" s="5">
        <v>9.871345029239766</v>
      </c>
      <c r="D115" s="2" t="s">
        <v>7</v>
      </c>
      <c r="E115" s="1" t="s">
        <v>11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x14ac:dyDescent="0.25">
      <c r="A116" s="1" t="s">
        <v>67</v>
      </c>
      <c r="B116" s="4">
        <v>32</v>
      </c>
      <c r="C116" s="5">
        <v>16</v>
      </c>
      <c r="D116" s="2" t="s">
        <v>7</v>
      </c>
      <c r="E116" s="1" t="s">
        <v>11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x14ac:dyDescent="0.25">
      <c r="A117" s="1" t="s">
        <v>68</v>
      </c>
      <c r="B117" s="4">
        <v>31.7</v>
      </c>
      <c r="C117" s="5">
        <v>21.133333333333333</v>
      </c>
      <c r="D117" s="2" t="s">
        <v>7</v>
      </c>
      <c r="E117" s="1" t="s">
        <v>11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x14ac:dyDescent="0.25">
      <c r="A118" s="1" t="s">
        <v>74</v>
      </c>
      <c r="B118" s="4">
        <v>28</v>
      </c>
      <c r="C118" s="5">
        <v>28</v>
      </c>
      <c r="D118" s="2" t="s">
        <v>7</v>
      </c>
      <c r="E118" s="1" t="s">
        <v>11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x14ac:dyDescent="0.25">
      <c r="A119" s="1" t="s">
        <v>79</v>
      </c>
      <c r="B119" s="4">
        <v>23</v>
      </c>
      <c r="C119" s="5">
        <v>4.5999999999999996</v>
      </c>
      <c r="D119" s="2" t="s">
        <v>7</v>
      </c>
      <c r="E119" s="1" t="s">
        <v>11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x14ac:dyDescent="0.25">
      <c r="A120" s="1" t="s">
        <v>81</v>
      </c>
      <c r="B120" s="4">
        <v>22.99</v>
      </c>
      <c r="C120" s="5">
        <v>11.494999999999999</v>
      </c>
      <c r="D120" s="2" t="s">
        <v>7</v>
      </c>
      <c r="E120" s="1" t="s">
        <v>11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x14ac:dyDescent="0.25">
      <c r="A121" s="1" t="s">
        <v>85</v>
      </c>
      <c r="B121" s="4">
        <v>21</v>
      </c>
      <c r="C121" s="5">
        <v>7</v>
      </c>
      <c r="D121" s="2" t="s">
        <v>7</v>
      </c>
      <c r="E121" s="1" t="s">
        <v>11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x14ac:dyDescent="0.25">
      <c r="A122" s="1" t="s">
        <v>87</v>
      </c>
      <c r="B122" s="4">
        <v>20</v>
      </c>
      <c r="C122" s="5">
        <v>5</v>
      </c>
      <c r="D122" s="2" t="s">
        <v>7</v>
      </c>
      <c r="E122" s="1" t="s">
        <v>11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x14ac:dyDescent="0.25">
      <c r="A123" s="1" t="s">
        <v>88</v>
      </c>
      <c r="B123" s="4">
        <v>20</v>
      </c>
      <c r="C123" s="5">
        <v>5</v>
      </c>
      <c r="D123" s="2" t="s">
        <v>7</v>
      </c>
      <c r="E123" s="1" t="s">
        <v>11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x14ac:dyDescent="0.25">
      <c r="A124" s="1" t="s">
        <v>90</v>
      </c>
      <c r="B124" s="4">
        <v>20</v>
      </c>
      <c r="C124" s="5">
        <v>5</v>
      </c>
      <c r="D124" s="2" t="s">
        <v>7</v>
      </c>
      <c r="E124" s="1" t="s">
        <v>11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x14ac:dyDescent="0.25">
      <c r="A125" s="1" t="s">
        <v>93</v>
      </c>
      <c r="B125" s="4">
        <v>19</v>
      </c>
      <c r="C125" s="5">
        <v>19</v>
      </c>
      <c r="D125" s="2" t="s">
        <v>7</v>
      </c>
      <c r="E125" s="1" t="s">
        <v>11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x14ac:dyDescent="0.25">
      <c r="A126" s="1" t="s">
        <v>97</v>
      </c>
      <c r="B126" s="4">
        <v>18</v>
      </c>
      <c r="C126" s="5">
        <v>18</v>
      </c>
      <c r="D126" s="2" t="s">
        <v>7</v>
      </c>
      <c r="E126" s="1" t="s">
        <v>11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x14ac:dyDescent="0.25">
      <c r="A127" s="1" t="s">
        <v>99</v>
      </c>
      <c r="B127" s="4">
        <v>18</v>
      </c>
      <c r="C127" s="5">
        <v>4.3062200956937806</v>
      </c>
      <c r="D127" s="2" t="s">
        <v>7</v>
      </c>
      <c r="E127" s="1" t="s">
        <v>11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x14ac:dyDescent="0.25">
      <c r="A128" s="1" t="s">
        <v>105</v>
      </c>
      <c r="B128" s="4">
        <v>16.05</v>
      </c>
      <c r="C128" s="5">
        <v>8.0250000000000004</v>
      </c>
      <c r="D128" s="2" t="s">
        <v>7</v>
      </c>
      <c r="E128" s="1" t="s">
        <v>11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x14ac:dyDescent="0.25">
      <c r="A129" s="1" t="s">
        <v>107</v>
      </c>
      <c r="B129" s="4">
        <v>16</v>
      </c>
      <c r="C129" s="5">
        <v>4</v>
      </c>
      <c r="D129" s="2" t="s">
        <v>7</v>
      </c>
      <c r="E129" s="1" t="s">
        <v>11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x14ac:dyDescent="0.25">
      <c r="A130" s="1" t="s">
        <v>109</v>
      </c>
      <c r="B130" s="4">
        <v>15.9</v>
      </c>
      <c r="C130" s="5">
        <v>4.1298701298701301</v>
      </c>
      <c r="D130" s="2" t="s">
        <v>7</v>
      </c>
      <c r="E130" s="1" t="s">
        <v>11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x14ac:dyDescent="0.25">
      <c r="A131" s="1" t="s">
        <v>110</v>
      </c>
      <c r="B131" s="4">
        <v>15</v>
      </c>
      <c r="C131" s="5">
        <v>7.5</v>
      </c>
      <c r="D131" s="2" t="s">
        <v>7</v>
      </c>
      <c r="E131" s="1" t="s">
        <v>11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x14ac:dyDescent="0.25">
      <c r="A132" s="1" t="s">
        <v>131</v>
      </c>
      <c r="B132" s="4">
        <v>11</v>
      </c>
      <c r="C132" s="5">
        <v>11</v>
      </c>
      <c r="D132" s="2" t="s">
        <v>7</v>
      </c>
      <c r="E132" s="1" t="s">
        <v>11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x14ac:dyDescent="0.25">
      <c r="A133" s="1" t="s">
        <v>138</v>
      </c>
      <c r="B133" s="4">
        <v>10</v>
      </c>
      <c r="C133" s="5">
        <v>10</v>
      </c>
      <c r="D133" s="2" t="s">
        <v>7</v>
      </c>
      <c r="E133" s="1" t="s">
        <v>11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x14ac:dyDescent="0.25">
      <c r="A134" s="1" t="s">
        <v>140</v>
      </c>
      <c r="B134" s="4">
        <v>10</v>
      </c>
      <c r="C134" s="5">
        <v>5</v>
      </c>
      <c r="D134" s="2" t="s">
        <v>7</v>
      </c>
      <c r="E134" s="1" t="s">
        <v>11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x14ac:dyDescent="0.25">
      <c r="A135" s="1" t="s">
        <v>155</v>
      </c>
      <c r="B135" s="4">
        <v>8</v>
      </c>
      <c r="C135" s="5">
        <v>8</v>
      </c>
      <c r="D135" s="2" t="s">
        <v>7</v>
      </c>
      <c r="E135" s="1" t="s">
        <v>11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x14ac:dyDescent="0.25">
      <c r="A136" s="1" t="s">
        <v>157</v>
      </c>
      <c r="B136" s="4">
        <v>8</v>
      </c>
      <c r="C136" s="5">
        <v>8</v>
      </c>
      <c r="D136" s="2" t="s">
        <v>7</v>
      </c>
      <c r="E136" s="1" t="s">
        <v>11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x14ac:dyDescent="0.25">
      <c r="A137" s="1" t="s">
        <v>158</v>
      </c>
      <c r="B137" s="4">
        <v>8</v>
      </c>
      <c r="C137" s="5">
        <v>8</v>
      </c>
      <c r="D137" s="2" t="s">
        <v>7</v>
      </c>
      <c r="E137" s="1" t="s">
        <v>11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x14ac:dyDescent="0.25">
      <c r="A138" s="1" t="s">
        <v>159</v>
      </c>
      <c r="B138" s="4">
        <v>8</v>
      </c>
      <c r="C138" s="5">
        <v>8</v>
      </c>
      <c r="D138" s="2" t="s">
        <v>7</v>
      </c>
      <c r="E138" s="1" t="s">
        <v>11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x14ac:dyDescent="0.25">
      <c r="A139" s="1" t="s">
        <v>177</v>
      </c>
      <c r="B139" s="4">
        <v>6</v>
      </c>
      <c r="C139" s="5">
        <v>20</v>
      </c>
      <c r="D139" s="2" t="s">
        <v>7</v>
      </c>
      <c r="E139" s="1" t="s">
        <v>11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x14ac:dyDescent="0.25">
      <c r="A140" s="1" t="s">
        <v>184</v>
      </c>
      <c r="B140" s="4">
        <v>5.9</v>
      </c>
      <c r="C140" s="5">
        <v>5.6190476190476195</v>
      </c>
      <c r="D140" s="2" t="s">
        <v>7</v>
      </c>
      <c r="E140" s="1" t="s">
        <v>11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x14ac:dyDescent="0.25">
      <c r="A141" s="1" t="s">
        <v>191</v>
      </c>
      <c r="B141" s="4">
        <v>5</v>
      </c>
      <c r="C141" s="5">
        <v>5</v>
      </c>
      <c r="D141" s="2" t="s">
        <v>7</v>
      </c>
      <c r="E141" s="1" t="s">
        <v>11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x14ac:dyDescent="0.25">
      <c r="A142" s="1" t="s">
        <v>207</v>
      </c>
      <c r="B142" s="4">
        <v>4</v>
      </c>
      <c r="C142" s="5">
        <v>4</v>
      </c>
      <c r="D142" s="2" t="s">
        <v>7</v>
      </c>
      <c r="E142" s="1" t="s">
        <v>11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x14ac:dyDescent="0.25">
      <c r="A143" s="1" t="s">
        <v>37</v>
      </c>
      <c r="B143" s="4">
        <v>88.15</v>
      </c>
      <c r="C143" s="5">
        <v>23.197368421052634</v>
      </c>
      <c r="D143" s="2" t="s">
        <v>7</v>
      </c>
      <c r="E143" s="1" t="s">
        <v>38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x14ac:dyDescent="0.25">
      <c r="A144" s="1" t="s">
        <v>76</v>
      </c>
      <c r="B144" s="4">
        <v>26.35</v>
      </c>
      <c r="C144" s="5">
        <v>13.175000000000001</v>
      </c>
      <c r="D144" s="2" t="s">
        <v>7</v>
      </c>
      <c r="E144" s="1" t="s">
        <v>38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x14ac:dyDescent="0.25">
      <c r="A145" s="1" t="s">
        <v>102</v>
      </c>
      <c r="B145" s="4">
        <v>17</v>
      </c>
      <c r="C145" s="5">
        <v>34</v>
      </c>
      <c r="D145" s="2" t="s">
        <v>7</v>
      </c>
      <c r="E145" s="1" t="s">
        <v>38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x14ac:dyDescent="0.25">
      <c r="A146" s="1" t="s">
        <v>146</v>
      </c>
      <c r="B146" s="4">
        <v>9</v>
      </c>
      <c r="C146" s="5">
        <v>9</v>
      </c>
      <c r="D146" s="2" t="s">
        <v>7</v>
      </c>
      <c r="E146" s="1" t="s">
        <v>38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x14ac:dyDescent="0.25">
      <c r="A147" s="1" t="s">
        <v>201</v>
      </c>
      <c r="B147" s="4">
        <v>4</v>
      </c>
      <c r="C147" s="5">
        <v>4</v>
      </c>
      <c r="D147" s="2" t="s">
        <v>7</v>
      </c>
      <c r="E147" s="1" t="s">
        <v>38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x14ac:dyDescent="0.25">
      <c r="A148" s="1" t="s">
        <v>6</v>
      </c>
      <c r="B148" s="4">
        <v>4161</v>
      </c>
      <c r="C148" s="5">
        <v>0</v>
      </c>
      <c r="D148" s="2" t="s">
        <v>7</v>
      </c>
      <c r="E148" s="1" t="s">
        <v>38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x14ac:dyDescent="0.25">
      <c r="A149" s="1" t="s">
        <v>64</v>
      </c>
      <c r="B149" s="4">
        <v>35</v>
      </c>
      <c r="C149" s="5">
        <v>0</v>
      </c>
      <c r="D149" s="2" t="s">
        <v>7</v>
      </c>
      <c r="E149" s="1" t="s">
        <v>38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x14ac:dyDescent="0.25">
      <c r="A150" s="1" t="s">
        <v>71</v>
      </c>
      <c r="B150" s="4">
        <v>31</v>
      </c>
      <c r="C150" s="5">
        <v>0</v>
      </c>
      <c r="D150" s="2" t="s">
        <v>7</v>
      </c>
      <c r="E150" s="1" t="s">
        <v>38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x14ac:dyDescent="0.25">
      <c r="A151" s="1" t="s">
        <v>166</v>
      </c>
      <c r="B151" s="4">
        <v>6</v>
      </c>
      <c r="C151" s="5">
        <v>0</v>
      </c>
      <c r="D151" s="2" t="s">
        <v>7</v>
      </c>
      <c r="E151" s="1" t="s">
        <v>38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x14ac:dyDescent="0.25">
      <c r="A152" s="1" t="s">
        <v>171</v>
      </c>
      <c r="B152" s="4">
        <v>6</v>
      </c>
      <c r="C152" s="5">
        <v>0.27272727272727271</v>
      </c>
      <c r="D152" s="2" t="s">
        <v>7</v>
      </c>
      <c r="E152" s="1" t="s">
        <v>38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x14ac:dyDescent="0.25">
      <c r="A153" s="1" t="s">
        <v>172</v>
      </c>
      <c r="B153" s="4">
        <v>6</v>
      </c>
      <c r="C153" s="5">
        <v>0.24</v>
      </c>
      <c r="D153" s="2" t="s">
        <v>7</v>
      </c>
      <c r="E153" s="1" t="s">
        <v>38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x14ac:dyDescent="0.25">
      <c r="A154" s="1" t="s">
        <v>186</v>
      </c>
      <c r="B154" s="4">
        <v>5</v>
      </c>
      <c r="C154" s="5">
        <v>0.625</v>
      </c>
      <c r="D154" s="2" t="s">
        <v>7</v>
      </c>
      <c r="E154" s="1" t="s">
        <v>38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x14ac:dyDescent="0.25">
      <c r="A155" s="1" t="s">
        <v>205</v>
      </c>
      <c r="B155" s="4">
        <v>4</v>
      </c>
      <c r="C155" s="5">
        <v>0.66666666666666663</v>
      </c>
      <c r="D155" s="2" t="s">
        <v>7</v>
      </c>
      <c r="E155" s="1" t="s">
        <v>38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x14ac:dyDescent="0.25">
      <c r="A156" s="1" t="s">
        <v>217</v>
      </c>
      <c r="B156" s="4">
        <v>3</v>
      </c>
      <c r="C156" s="5">
        <v>0</v>
      </c>
      <c r="D156" s="2" t="s">
        <v>7</v>
      </c>
      <c r="E156" s="1" t="s">
        <v>38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x14ac:dyDescent="0.25">
      <c r="A157" s="1" t="s">
        <v>218</v>
      </c>
      <c r="B157" s="4">
        <v>3</v>
      </c>
      <c r="C157" s="5">
        <v>0</v>
      </c>
      <c r="D157" s="2" t="s">
        <v>7</v>
      </c>
      <c r="E157" s="1" t="s">
        <v>38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x14ac:dyDescent="0.25">
      <c r="A158" s="1" t="s">
        <v>225</v>
      </c>
      <c r="B158" s="4">
        <v>3</v>
      </c>
      <c r="C158" s="5">
        <v>0</v>
      </c>
      <c r="D158" s="2" t="s">
        <v>7</v>
      </c>
      <c r="E158" s="1" t="s">
        <v>38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x14ac:dyDescent="0.25">
      <c r="A159" s="1" t="s">
        <v>227</v>
      </c>
      <c r="B159" s="4">
        <v>3</v>
      </c>
      <c r="C159" s="5">
        <v>0.16666666666666666</v>
      </c>
      <c r="D159" s="2" t="s">
        <v>7</v>
      </c>
      <c r="E159" s="1" t="s">
        <v>38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x14ac:dyDescent="0.25">
      <c r="A160" s="1" t="s">
        <v>228</v>
      </c>
      <c r="B160" s="4">
        <v>3</v>
      </c>
      <c r="C160" s="5">
        <v>0</v>
      </c>
      <c r="D160" s="2" t="s">
        <v>7</v>
      </c>
      <c r="E160" s="1" t="s">
        <v>38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x14ac:dyDescent="0.25">
      <c r="A161" s="1" t="s">
        <v>230</v>
      </c>
      <c r="B161" s="4">
        <v>3</v>
      </c>
      <c r="C161" s="5">
        <v>0</v>
      </c>
      <c r="D161" s="2" t="s">
        <v>7</v>
      </c>
      <c r="E161" s="1" t="s">
        <v>38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x14ac:dyDescent="0.25">
      <c r="A162" s="1" t="s">
        <v>243</v>
      </c>
      <c r="B162" s="4">
        <v>2</v>
      </c>
      <c r="C162" s="5">
        <v>0</v>
      </c>
      <c r="D162" s="2" t="s">
        <v>7</v>
      </c>
      <c r="E162" s="1" t="s">
        <v>38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x14ac:dyDescent="0.25">
      <c r="A163" s="1" t="s">
        <v>246</v>
      </c>
      <c r="B163" s="4">
        <v>2</v>
      </c>
      <c r="C163" s="5">
        <v>0</v>
      </c>
      <c r="D163" s="2" t="s">
        <v>7</v>
      </c>
      <c r="E163" s="1" t="s">
        <v>38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x14ac:dyDescent="0.25">
      <c r="A164" s="1" t="s">
        <v>247</v>
      </c>
      <c r="B164" s="4">
        <v>2</v>
      </c>
      <c r="C164" s="5">
        <v>0.2</v>
      </c>
      <c r="D164" s="2" t="s">
        <v>7</v>
      </c>
      <c r="E164" s="1" t="s">
        <v>38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x14ac:dyDescent="0.25">
      <c r="A165" s="1" t="s">
        <v>250</v>
      </c>
      <c r="B165" s="4">
        <v>2</v>
      </c>
      <c r="C165" s="5">
        <v>0</v>
      </c>
      <c r="D165" s="2" t="s">
        <v>7</v>
      </c>
      <c r="E165" s="1" t="s">
        <v>38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x14ac:dyDescent="0.25">
      <c r="A166" s="1" t="s">
        <v>255</v>
      </c>
      <c r="B166" s="4">
        <v>2</v>
      </c>
      <c r="C166" s="5">
        <v>0.4</v>
      </c>
      <c r="D166" s="2" t="s">
        <v>7</v>
      </c>
      <c r="E166" s="1" t="s">
        <v>38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x14ac:dyDescent="0.25">
      <c r="A167" s="1" t="s">
        <v>262</v>
      </c>
      <c r="B167" s="4">
        <v>1.1000000000000001</v>
      </c>
      <c r="C167" s="5">
        <v>2.600472813238771E-2</v>
      </c>
      <c r="D167" s="2" t="s">
        <v>7</v>
      </c>
      <c r="E167" s="1" t="s">
        <v>38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x14ac:dyDescent="0.25">
      <c r="A168" s="1" t="s">
        <v>45</v>
      </c>
      <c r="B168" s="4">
        <v>64.150000000000006</v>
      </c>
      <c r="C168" s="5">
        <v>6.9728260869565233</v>
      </c>
      <c r="D168" s="2" t="s">
        <v>29</v>
      </c>
      <c r="E168" s="1" t="s">
        <v>11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x14ac:dyDescent="0.25">
      <c r="A169" s="1" t="s">
        <v>82</v>
      </c>
      <c r="B169" s="4">
        <v>22.82</v>
      </c>
      <c r="C169" s="5">
        <v>5.8512820512820509</v>
      </c>
      <c r="D169" s="2" t="s">
        <v>29</v>
      </c>
      <c r="E169" s="1" t="s">
        <v>11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x14ac:dyDescent="0.25">
      <c r="A170" s="1" t="s">
        <v>121</v>
      </c>
      <c r="B170" s="4">
        <v>12.71</v>
      </c>
      <c r="C170" s="5">
        <v>0.57654797006123848</v>
      </c>
      <c r="D170" s="2" t="s">
        <v>16</v>
      </c>
      <c r="E170" s="1" t="s">
        <v>38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x14ac:dyDescent="0.25">
      <c r="A171" s="1" t="s">
        <v>165</v>
      </c>
      <c r="B171" s="4">
        <v>6.1</v>
      </c>
      <c r="C171" s="5">
        <v>0</v>
      </c>
      <c r="D171" s="2" t="s">
        <v>16</v>
      </c>
      <c r="E171" s="1" t="s">
        <v>38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x14ac:dyDescent="0.25">
      <c r="A172" s="1" t="s">
        <v>168</v>
      </c>
      <c r="B172" s="4">
        <v>6</v>
      </c>
      <c r="C172" s="5">
        <v>0</v>
      </c>
      <c r="D172" s="2" t="s">
        <v>16</v>
      </c>
      <c r="E172" s="1" t="s">
        <v>38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x14ac:dyDescent="0.25">
      <c r="A173" s="1" t="s">
        <v>258</v>
      </c>
      <c r="B173" s="4">
        <v>1.69</v>
      </c>
      <c r="C173" s="5">
        <v>0</v>
      </c>
      <c r="D173" s="2" t="s">
        <v>16</v>
      </c>
      <c r="E173" s="1" t="s">
        <v>38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x14ac:dyDescent="0.25">
      <c r="A174" s="1" t="s">
        <v>260</v>
      </c>
      <c r="B174" s="4">
        <v>1.2350000000000001</v>
      </c>
      <c r="C174" s="5">
        <v>0</v>
      </c>
      <c r="D174" s="2" t="s">
        <v>16</v>
      </c>
      <c r="E174" s="1" t="s">
        <v>38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x14ac:dyDescent="0.25">
      <c r="A175" s="1" t="s">
        <v>58</v>
      </c>
      <c r="B175" s="4">
        <v>43</v>
      </c>
      <c r="C175" s="5">
        <v>14.333333333333334</v>
      </c>
      <c r="D175" s="2" t="s">
        <v>19</v>
      </c>
      <c r="E175" s="1" t="s">
        <v>11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x14ac:dyDescent="0.25">
      <c r="A176" s="1" t="s">
        <v>61</v>
      </c>
      <c r="B176" s="4">
        <v>36</v>
      </c>
      <c r="C176" s="5">
        <v>36</v>
      </c>
      <c r="D176" s="2" t="s">
        <v>19</v>
      </c>
      <c r="E176" s="1" t="s">
        <v>11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x14ac:dyDescent="0.25">
      <c r="A177" s="1" t="s">
        <v>98</v>
      </c>
      <c r="B177" s="4">
        <v>18</v>
      </c>
      <c r="C177" s="5">
        <v>9</v>
      </c>
      <c r="D177" s="2" t="s">
        <v>19</v>
      </c>
      <c r="E177" s="1" t="s">
        <v>11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x14ac:dyDescent="0.25">
      <c r="A178" s="1" t="s">
        <v>108</v>
      </c>
      <c r="B178" s="4">
        <v>16</v>
      </c>
      <c r="C178" s="5">
        <v>8</v>
      </c>
      <c r="D178" s="2" t="s">
        <v>19</v>
      </c>
      <c r="E178" s="1" t="s">
        <v>11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x14ac:dyDescent="0.25">
      <c r="A179" s="1" t="s">
        <v>113</v>
      </c>
      <c r="B179" s="4">
        <v>14</v>
      </c>
      <c r="C179" s="5">
        <v>7</v>
      </c>
      <c r="D179" s="2" t="s">
        <v>19</v>
      </c>
      <c r="E179" s="1" t="s">
        <v>11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x14ac:dyDescent="0.25">
      <c r="A180" s="1" t="s">
        <v>123</v>
      </c>
      <c r="B180" s="4">
        <v>12</v>
      </c>
      <c r="C180" s="5">
        <v>6</v>
      </c>
      <c r="D180" s="2" t="s">
        <v>19</v>
      </c>
      <c r="E180" s="1" t="s">
        <v>11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x14ac:dyDescent="0.25">
      <c r="A181" s="1" t="s">
        <v>129</v>
      </c>
      <c r="B181" s="4">
        <v>11</v>
      </c>
      <c r="C181" s="5">
        <v>5.5</v>
      </c>
      <c r="D181" s="2" t="s">
        <v>19</v>
      </c>
      <c r="E181" s="1" t="s">
        <v>11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x14ac:dyDescent="0.25">
      <c r="A182" s="1" t="s">
        <v>130</v>
      </c>
      <c r="B182" s="4">
        <v>11</v>
      </c>
      <c r="C182" s="5">
        <v>5.5</v>
      </c>
      <c r="D182" s="2" t="s">
        <v>19</v>
      </c>
      <c r="E182" s="1" t="s">
        <v>11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x14ac:dyDescent="0.25">
      <c r="A183" s="1" t="s">
        <v>162</v>
      </c>
      <c r="B183" s="4">
        <v>7</v>
      </c>
      <c r="C183" s="5">
        <v>7</v>
      </c>
      <c r="D183" s="2" t="s">
        <v>19</v>
      </c>
      <c r="E183" s="1" t="s">
        <v>11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x14ac:dyDescent="0.25">
      <c r="A184" s="1" t="s">
        <v>178</v>
      </c>
      <c r="B184" s="4">
        <v>6</v>
      </c>
      <c r="C184" s="5">
        <v>6</v>
      </c>
      <c r="D184" s="2" t="s">
        <v>19</v>
      </c>
      <c r="E184" s="1" t="s">
        <v>11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x14ac:dyDescent="0.25">
      <c r="A185" s="1" t="s">
        <v>192</v>
      </c>
      <c r="B185" s="4">
        <v>5</v>
      </c>
      <c r="C185" s="5">
        <v>5</v>
      </c>
      <c r="D185" s="2" t="s">
        <v>19</v>
      </c>
      <c r="E185" s="1" t="s">
        <v>11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x14ac:dyDescent="0.25">
      <c r="A186" s="1" t="s">
        <v>46</v>
      </c>
      <c r="B186" s="4">
        <v>63</v>
      </c>
      <c r="C186" s="5">
        <v>0</v>
      </c>
      <c r="D186" s="2" t="s">
        <v>19</v>
      </c>
      <c r="E186" s="1" t="s">
        <v>38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x14ac:dyDescent="0.25">
      <c r="A187" s="1" t="s">
        <v>89</v>
      </c>
      <c r="B187" s="4">
        <v>20</v>
      </c>
      <c r="C187" s="5">
        <v>0</v>
      </c>
      <c r="D187" s="2" t="s">
        <v>19</v>
      </c>
      <c r="E187" s="1" t="s">
        <v>38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x14ac:dyDescent="0.25">
      <c r="A188" s="1" t="s">
        <v>145</v>
      </c>
      <c r="B188" s="4">
        <v>9.09</v>
      </c>
      <c r="C188" s="5">
        <v>0</v>
      </c>
      <c r="D188" s="2" t="s">
        <v>19</v>
      </c>
      <c r="E188" s="1" t="s">
        <v>38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x14ac:dyDescent="0.25">
      <c r="A189" s="1" t="s">
        <v>256</v>
      </c>
      <c r="B189" s="4">
        <v>2</v>
      </c>
      <c r="C189" s="5">
        <v>0</v>
      </c>
      <c r="D189" s="2" t="s">
        <v>19</v>
      </c>
      <c r="E189" s="1" t="s">
        <v>38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x14ac:dyDescent="0.25">
      <c r="A190" s="1" t="s">
        <v>34</v>
      </c>
      <c r="B190" s="4">
        <v>100</v>
      </c>
      <c r="C190" s="5">
        <v>4.3859649122807012</v>
      </c>
      <c r="D190" s="2" t="s">
        <v>9</v>
      </c>
      <c r="E190" s="1" t="s">
        <v>11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x14ac:dyDescent="0.25">
      <c r="A191" s="1" t="s">
        <v>125</v>
      </c>
      <c r="B191" s="4">
        <v>12</v>
      </c>
      <c r="C191" s="5">
        <v>12</v>
      </c>
      <c r="D191" s="2" t="s">
        <v>9</v>
      </c>
      <c r="E191" s="1" t="s">
        <v>11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x14ac:dyDescent="0.25">
      <c r="A192" s="1" t="s">
        <v>137</v>
      </c>
      <c r="B192" s="4">
        <v>10</v>
      </c>
      <c r="C192" s="5">
        <v>10</v>
      </c>
      <c r="D192" s="2" t="s">
        <v>9</v>
      </c>
      <c r="E192" s="1" t="s">
        <v>11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x14ac:dyDescent="0.25">
      <c r="A193" s="1" t="s">
        <v>197</v>
      </c>
      <c r="B193" s="4">
        <v>5</v>
      </c>
      <c r="C193" s="5">
        <v>0</v>
      </c>
      <c r="D193" s="2" t="s">
        <v>9</v>
      </c>
      <c r="E193" s="1" t="s">
        <v>38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x14ac:dyDescent="0.25">
      <c r="A194" s="1" t="s">
        <v>32</v>
      </c>
      <c r="B194" s="4">
        <v>122</v>
      </c>
      <c r="C194" s="5">
        <v>6.4210526315789478</v>
      </c>
      <c r="D194" s="2" t="s">
        <v>8</v>
      </c>
      <c r="E194" s="1" t="s">
        <v>11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x14ac:dyDescent="0.25">
      <c r="A195" s="1" t="s">
        <v>36</v>
      </c>
      <c r="B195" s="4">
        <v>89</v>
      </c>
      <c r="C195" s="5">
        <v>4.2380952380952381</v>
      </c>
      <c r="D195" s="2" t="s">
        <v>8</v>
      </c>
      <c r="E195" s="1" t="s">
        <v>11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x14ac:dyDescent="0.25">
      <c r="A196" s="1" t="s">
        <v>40</v>
      </c>
      <c r="B196" s="4">
        <v>84</v>
      </c>
      <c r="C196" s="5">
        <v>4.2</v>
      </c>
      <c r="D196" s="2" t="s">
        <v>8</v>
      </c>
      <c r="E196" s="1" t="s">
        <v>11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x14ac:dyDescent="0.25">
      <c r="A197" s="1" t="s">
        <v>63</v>
      </c>
      <c r="B197" s="4">
        <v>35.25</v>
      </c>
      <c r="C197" s="5">
        <v>5.2611940298507465</v>
      </c>
      <c r="D197" s="2" t="s">
        <v>8</v>
      </c>
      <c r="E197" s="1" t="s">
        <v>11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x14ac:dyDescent="0.25">
      <c r="A198" s="1" t="s">
        <v>73</v>
      </c>
      <c r="B198" s="4">
        <v>28.35</v>
      </c>
      <c r="C198" s="5">
        <v>5.9062500000000009</v>
      </c>
      <c r="D198" s="2" t="s">
        <v>8</v>
      </c>
      <c r="E198" s="1" t="s">
        <v>11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x14ac:dyDescent="0.25">
      <c r="A199" s="1" t="s">
        <v>100</v>
      </c>
      <c r="B199" s="4">
        <v>18</v>
      </c>
      <c r="C199" s="5">
        <v>6</v>
      </c>
      <c r="D199" s="2" t="s">
        <v>8</v>
      </c>
      <c r="E199" s="1" t="s">
        <v>11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x14ac:dyDescent="0.25">
      <c r="A200" s="1" t="s">
        <v>104</v>
      </c>
      <c r="B200" s="4">
        <v>17</v>
      </c>
      <c r="C200" s="5">
        <v>4.25</v>
      </c>
      <c r="D200" s="2" t="s">
        <v>8</v>
      </c>
      <c r="E200" s="1" t="s">
        <v>11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x14ac:dyDescent="0.25">
      <c r="A201" s="1" t="s">
        <v>111</v>
      </c>
      <c r="B201" s="4">
        <v>15</v>
      </c>
      <c r="C201" s="5">
        <v>7.5</v>
      </c>
      <c r="D201" s="2" t="s">
        <v>8</v>
      </c>
      <c r="E201" s="1" t="s">
        <v>11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x14ac:dyDescent="0.25">
      <c r="A202" s="1" t="s">
        <v>117</v>
      </c>
      <c r="B202" s="4">
        <v>13</v>
      </c>
      <c r="C202" s="5">
        <v>13</v>
      </c>
      <c r="D202" s="2" t="s">
        <v>8</v>
      </c>
      <c r="E202" s="1" t="s">
        <v>11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x14ac:dyDescent="0.25">
      <c r="A203" s="1" t="s">
        <v>118</v>
      </c>
      <c r="B203" s="4">
        <v>13</v>
      </c>
      <c r="C203" s="5">
        <v>6.5</v>
      </c>
      <c r="D203" s="2" t="s">
        <v>8</v>
      </c>
      <c r="E203" s="1" t="s">
        <v>11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x14ac:dyDescent="0.25">
      <c r="A204" s="1" t="s">
        <v>143</v>
      </c>
      <c r="B204" s="4">
        <v>10</v>
      </c>
      <c r="C204" s="5">
        <v>10</v>
      </c>
      <c r="D204" s="2" t="s">
        <v>8</v>
      </c>
      <c r="E204" s="1" t="s">
        <v>11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x14ac:dyDescent="0.25">
      <c r="A205" s="1" t="s">
        <v>149</v>
      </c>
      <c r="B205" s="4">
        <v>9</v>
      </c>
      <c r="C205" s="5">
        <v>4.5</v>
      </c>
      <c r="D205" s="2" t="s">
        <v>8</v>
      </c>
      <c r="E205" s="1" t="s">
        <v>11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x14ac:dyDescent="0.25">
      <c r="A206" s="1" t="s">
        <v>150</v>
      </c>
      <c r="B206" s="4">
        <v>9</v>
      </c>
      <c r="C206" s="5">
        <v>9</v>
      </c>
      <c r="D206" s="2" t="s">
        <v>8</v>
      </c>
      <c r="E206" s="1" t="s">
        <v>11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x14ac:dyDescent="0.25">
      <c r="A207" s="1" t="s">
        <v>151</v>
      </c>
      <c r="B207" s="4">
        <v>9</v>
      </c>
      <c r="C207" s="5">
        <v>9</v>
      </c>
      <c r="D207" s="2" t="s">
        <v>8</v>
      </c>
      <c r="E207" s="1" t="s">
        <v>11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x14ac:dyDescent="0.25">
      <c r="A208" s="1" t="s">
        <v>163</v>
      </c>
      <c r="B208" s="4">
        <v>6.98</v>
      </c>
      <c r="C208" s="5">
        <v>6.4036697247706424</v>
      </c>
      <c r="D208" s="2" t="s">
        <v>8</v>
      </c>
      <c r="E208" s="1" t="s">
        <v>11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x14ac:dyDescent="0.25">
      <c r="A209" s="1" t="s">
        <v>183</v>
      </c>
      <c r="B209" s="4">
        <v>6</v>
      </c>
      <c r="C209" s="5">
        <v>6</v>
      </c>
      <c r="D209" s="2" t="s">
        <v>8</v>
      </c>
      <c r="E209" s="1" t="s">
        <v>11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x14ac:dyDescent="0.25">
      <c r="A210" s="1" t="s">
        <v>193</v>
      </c>
      <c r="B210" s="4">
        <v>5</v>
      </c>
      <c r="C210" s="5">
        <v>0</v>
      </c>
      <c r="D210" s="2" t="s">
        <v>8</v>
      </c>
      <c r="E210" s="1" t="s">
        <v>38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x14ac:dyDescent="0.25">
      <c r="A211" s="1" t="s">
        <v>257</v>
      </c>
      <c r="B211" s="4">
        <v>2</v>
      </c>
      <c r="C211" s="5">
        <v>0</v>
      </c>
      <c r="D211" s="2" t="s">
        <v>8</v>
      </c>
      <c r="E211" s="1" t="s">
        <v>38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x14ac:dyDescent="0.25">
      <c r="A212" s="1" t="s">
        <v>28</v>
      </c>
      <c r="B212" s="4">
        <v>173.2</v>
      </c>
      <c r="C212" s="5">
        <v>8.4901960784313726</v>
      </c>
      <c r="D212" s="2" t="s">
        <v>15</v>
      </c>
      <c r="E212" s="1" t="s">
        <v>11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x14ac:dyDescent="0.25">
      <c r="A213" s="1" t="s">
        <v>30</v>
      </c>
      <c r="B213" s="4">
        <v>158.30000000000001</v>
      </c>
      <c r="C213" s="5">
        <v>158.30000000000001</v>
      </c>
      <c r="D213" s="2" t="s">
        <v>15</v>
      </c>
      <c r="E213" s="1" t="s">
        <v>11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x14ac:dyDescent="0.25">
      <c r="A214" s="1" t="s">
        <v>54</v>
      </c>
      <c r="B214" s="4">
        <v>44.655000000000001</v>
      </c>
      <c r="C214" s="5">
        <v>8.9327865573114646</v>
      </c>
      <c r="D214" s="2" t="s">
        <v>15</v>
      </c>
      <c r="E214" s="1" t="s">
        <v>11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x14ac:dyDescent="0.25">
      <c r="A215" s="1" t="s">
        <v>55</v>
      </c>
      <c r="B215" s="4">
        <v>44.5</v>
      </c>
      <c r="C215" s="5">
        <v>5.4268292682926838</v>
      </c>
      <c r="D215" s="2" t="s">
        <v>15</v>
      </c>
      <c r="E215" s="1" t="s">
        <v>11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x14ac:dyDescent="0.25">
      <c r="A216" s="1" t="s">
        <v>80</v>
      </c>
      <c r="B216" s="4">
        <v>23</v>
      </c>
      <c r="C216" s="5">
        <v>7.666666666666667</v>
      </c>
      <c r="D216" s="2" t="s">
        <v>15</v>
      </c>
      <c r="E216" s="1" t="s">
        <v>11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x14ac:dyDescent="0.25">
      <c r="A217" s="1" t="s">
        <v>103</v>
      </c>
      <c r="B217" s="4">
        <v>17</v>
      </c>
      <c r="C217" s="5">
        <v>4.25</v>
      </c>
      <c r="D217" s="2" t="s">
        <v>15</v>
      </c>
      <c r="E217" s="1" t="s">
        <v>11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x14ac:dyDescent="0.25">
      <c r="A218" s="1" t="s">
        <v>120</v>
      </c>
      <c r="B218" s="4">
        <v>13</v>
      </c>
      <c r="C218" s="5">
        <v>4.333333333333333</v>
      </c>
      <c r="D218" s="2" t="s">
        <v>15</v>
      </c>
      <c r="E218" s="1" t="s">
        <v>11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x14ac:dyDescent="0.25">
      <c r="A219" s="1" t="s">
        <v>160</v>
      </c>
      <c r="B219" s="4">
        <v>8</v>
      </c>
      <c r="C219" s="5">
        <v>8</v>
      </c>
      <c r="D219" s="2" t="s">
        <v>15</v>
      </c>
      <c r="E219" s="1" t="s">
        <v>11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x14ac:dyDescent="0.25">
      <c r="A220" s="1" t="s">
        <v>170</v>
      </c>
      <c r="B220" s="4">
        <v>6</v>
      </c>
      <c r="C220" s="5">
        <v>6</v>
      </c>
      <c r="D220" s="2" t="s">
        <v>15</v>
      </c>
      <c r="E220" s="1" t="s">
        <v>11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x14ac:dyDescent="0.25">
      <c r="A221" s="1" t="s">
        <v>179</v>
      </c>
      <c r="B221" s="4">
        <v>6</v>
      </c>
      <c r="C221" s="5">
        <v>6</v>
      </c>
      <c r="D221" s="2" t="s">
        <v>15</v>
      </c>
      <c r="E221" s="1" t="s">
        <v>11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x14ac:dyDescent="0.25">
      <c r="A222" s="1" t="s">
        <v>194</v>
      </c>
      <c r="B222" s="4">
        <v>5</v>
      </c>
      <c r="C222" s="5">
        <v>5</v>
      </c>
      <c r="D222" s="2" t="s">
        <v>15</v>
      </c>
      <c r="E222" s="1" t="s">
        <v>11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x14ac:dyDescent="0.25">
      <c r="A223" s="1" t="s">
        <v>147</v>
      </c>
      <c r="B223" s="4">
        <v>9</v>
      </c>
      <c r="C223" s="5">
        <v>0.9</v>
      </c>
      <c r="D223" s="2" t="s">
        <v>15</v>
      </c>
      <c r="E223" s="1" t="s">
        <v>38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x14ac:dyDescent="0.25">
      <c r="A224" s="1" t="s">
        <v>180</v>
      </c>
      <c r="B224" s="4">
        <v>6</v>
      </c>
      <c r="C224" s="5">
        <v>0</v>
      </c>
      <c r="D224" s="2" t="s">
        <v>15</v>
      </c>
      <c r="E224" s="1" t="s">
        <v>38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x14ac:dyDescent="0.25">
      <c r="A225" s="1" t="s">
        <v>224</v>
      </c>
      <c r="B225" s="4">
        <v>3</v>
      </c>
      <c r="C225" s="5">
        <v>0</v>
      </c>
      <c r="D225" s="2" t="s">
        <v>15</v>
      </c>
      <c r="E225" s="1" t="s">
        <v>38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x14ac:dyDescent="0.25">
      <c r="A226" s="1" t="s">
        <v>240</v>
      </c>
      <c r="B226" s="4">
        <v>2</v>
      </c>
      <c r="C226" s="5">
        <v>0</v>
      </c>
      <c r="D226" s="2" t="s">
        <v>15</v>
      </c>
      <c r="E226" s="1" t="s">
        <v>38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x14ac:dyDescent="0.25">
      <c r="A227" s="1" t="s">
        <v>259</v>
      </c>
      <c r="B227" s="4">
        <v>1.4</v>
      </c>
      <c r="C227" s="5">
        <v>0.18918918918918917</v>
      </c>
      <c r="D227" s="2" t="s">
        <v>15</v>
      </c>
      <c r="E227" s="1" t="s">
        <v>38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x14ac:dyDescent="0.25">
      <c r="A228" s="1" t="s">
        <v>69</v>
      </c>
      <c r="B228" s="4">
        <v>31</v>
      </c>
      <c r="C228" s="5">
        <v>0</v>
      </c>
      <c r="D228" s="2" t="s">
        <v>70</v>
      </c>
      <c r="E228" s="1" t="s">
        <v>38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x14ac:dyDescent="0.25">
      <c r="A229" s="1" t="s">
        <v>112</v>
      </c>
      <c r="B229" s="4">
        <v>14</v>
      </c>
      <c r="C229" s="5">
        <v>0</v>
      </c>
      <c r="D229" s="2" t="s">
        <v>44</v>
      </c>
      <c r="E229" s="1" t="s">
        <v>38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x14ac:dyDescent="0.25">
      <c r="A230" s="1" t="s">
        <v>223</v>
      </c>
      <c r="B230" s="4">
        <v>3</v>
      </c>
      <c r="C230" s="5">
        <v>0.16666666666666666</v>
      </c>
      <c r="D230" s="2" t="s">
        <v>44</v>
      </c>
      <c r="E230" s="1" t="s">
        <v>38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x14ac:dyDescent="0.25">
      <c r="A231" s="1" t="s">
        <v>21</v>
      </c>
      <c r="B231" s="4">
        <v>222.95</v>
      </c>
      <c r="C231" s="5">
        <v>20.268181818181816</v>
      </c>
      <c r="D231" s="2" t="s">
        <v>22</v>
      </c>
      <c r="E231" s="1" t="s">
        <v>11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x14ac:dyDescent="0.25">
      <c r="A232" s="1" t="s">
        <v>27</v>
      </c>
      <c r="B232" s="4">
        <v>177.9</v>
      </c>
      <c r="C232" s="5">
        <v>13.684615384615386</v>
      </c>
      <c r="D232" s="2" t="s">
        <v>22</v>
      </c>
      <c r="E232" s="1" t="s">
        <v>11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x14ac:dyDescent="0.25">
      <c r="A233" s="1" t="s">
        <v>42</v>
      </c>
      <c r="B233" s="4">
        <v>68.25</v>
      </c>
      <c r="C233" s="5">
        <v>17.0625</v>
      </c>
      <c r="D233" s="2" t="s">
        <v>22</v>
      </c>
      <c r="E233" s="1" t="s">
        <v>11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x14ac:dyDescent="0.25">
      <c r="A234" s="1" t="s">
        <v>66</v>
      </c>
      <c r="B234" s="4">
        <v>33.18</v>
      </c>
      <c r="C234" s="5">
        <v>10.986754966887418</v>
      </c>
      <c r="D234" s="2" t="s">
        <v>22</v>
      </c>
      <c r="E234" s="1" t="s">
        <v>11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x14ac:dyDescent="0.25">
      <c r="A235" s="1" t="s">
        <v>75</v>
      </c>
      <c r="B235" s="4">
        <v>28</v>
      </c>
      <c r="C235" s="5">
        <v>28</v>
      </c>
      <c r="D235" s="2" t="s">
        <v>22</v>
      </c>
      <c r="E235" s="1" t="s">
        <v>11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x14ac:dyDescent="0.25">
      <c r="A236" s="1" t="s">
        <v>96</v>
      </c>
      <c r="B236" s="4">
        <v>18.07</v>
      </c>
      <c r="C236" s="5">
        <v>36.14</v>
      </c>
      <c r="D236" s="2" t="s">
        <v>22</v>
      </c>
      <c r="E236" s="1" t="s">
        <v>11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x14ac:dyDescent="0.25">
      <c r="A237" s="1" t="s">
        <v>116</v>
      </c>
      <c r="B237" s="4">
        <v>13.1</v>
      </c>
      <c r="C237" s="5">
        <v>13.1</v>
      </c>
      <c r="D237" s="2" t="s">
        <v>22</v>
      </c>
      <c r="E237" s="1" t="s">
        <v>11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x14ac:dyDescent="0.25">
      <c r="A238" s="1" t="s">
        <v>161</v>
      </c>
      <c r="B238" s="4">
        <v>7.99</v>
      </c>
      <c r="C238" s="5">
        <v>10.554821664464994</v>
      </c>
      <c r="D238" s="2" t="s">
        <v>22</v>
      </c>
      <c r="E238" s="1" t="s">
        <v>11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x14ac:dyDescent="0.25">
      <c r="A239" s="1" t="s">
        <v>83</v>
      </c>
      <c r="B239" s="4">
        <v>21.899000000000001</v>
      </c>
      <c r="C239" s="5">
        <v>0</v>
      </c>
      <c r="D239" s="2" t="s">
        <v>22</v>
      </c>
      <c r="E239" s="1" t="s">
        <v>38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x14ac:dyDescent="0.25">
      <c r="A240" s="1" t="s">
        <v>144</v>
      </c>
      <c r="B240" s="4">
        <v>9.43</v>
      </c>
      <c r="C240" s="5">
        <v>0</v>
      </c>
      <c r="D240" s="2" t="s">
        <v>22</v>
      </c>
      <c r="E240" s="1" t="s">
        <v>38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x14ac:dyDescent="0.25">
      <c r="A241" s="1" t="s">
        <v>185</v>
      </c>
      <c r="B241" s="4">
        <v>5</v>
      </c>
      <c r="C241" s="5">
        <v>0</v>
      </c>
      <c r="D241" s="2" t="s">
        <v>22</v>
      </c>
      <c r="E241" s="1" t="s">
        <v>38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x14ac:dyDescent="0.25">
      <c r="A242" s="1" t="s">
        <v>43</v>
      </c>
      <c r="B242" s="4">
        <v>66.31</v>
      </c>
      <c r="C242" s="5">
        <v>4.6945132743362832</v>
      </c>
      <c r="D242" s="2" t="s">
        <v>5</v>
      </c>
      <c r="E242" s="1" t="s">
        <v>11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x14ac:dyDescent="0.25">
      <c r="A243" s="1" t="s">
        <v>133</v>
      </c>
      <c r="B243" s="4">
        <v>10.62</v>
      </c>
      <c r="C243" s="5">
        <v>265.5</v>
      </c>
      <c r="D243" s="2" t="s">
        <v>5</v>
      </c>
      <c r="E243" s="1" t="s">
        <v>11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x14ac:dyDescent="0.25">
      <c r="A244" s="1" t="s">
        <v>153</v>
      </c>
      <c r="B244" s="4">
        <v>8</v>
      </c>
      <c r="C244" s="5">
        <v>4</v>
      </c>
      <c r="D244" s="2" t="s">
        <v>5</v>
      </c>
      <c r="E244" s="1" t="s">
        <v>11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x14ac:dyDescent="0.25">
      <c r="A245" s="1" t="s">
        <v>187</v>
      </c>
      <c r="B245" s="4">
        <v>5</v>
      </c>
      <c r="C245" s="5">
        <v>5</v>
      </c>
      <c r="D245" s="2" t="s">
        <v>5</v>
      </c>
      <c r="E245" s="1" t="s">
        <v>11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x14ac:dyDescent="0.25">
      <c r="A246" s="1" t="s">
        <v>164</v>
      </c>
      <c r="B246" s="4">
        <v>6.26</v>
      </c>
      <c r="C246" s="5">
        <v>0</v>
      </c>
      <c r="D246" s="2" t="s">
        <v>5</v>
      </c>
      <c r="E246" s="1" t="s">
        <v>38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x14ac:dyDescent="0.25">
      <c r="A247" s="1" t="s">
        <v>62</v>
      </c>
      <c r="B247" s="4">
        <v>35.53</v>
      </c>
      <c r="C247" s="5">
        <v>4.010158013544018</v>
      </c>
      <c r="D247" s="2" t="s">
        <v>12</v>
      </c>
      <c r="E247" s="1" t="s">
        <v>11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x14ac:dyDescent="0.25">
      <c r="A248" s="1" t="s">
        <v>95</v>
      </c>
      <c r="B248" s="4">
        <v>18.13</v>
      </c>
      <c r="C248" s="5">
        <v>18.13</v>
      </c>
      <c r="D248" s="2" t="s">
        <v>12</v>
      </c>
      <c r="E248" s="1" t="s">
        <v>11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</sheetData>
  <autoFilter ref="A4:E248">
    <sortState ref="A5:E248">
      <sortCondition descending="1" ref="D4:D248"/>
    </sortState>
  </autoFilter>
  <mergeCells count="12">
    <mergeCell ref="P1:S1"/>
    <mergeCell ref="P2:S2"/>
    <mergeCell ref="A3:E3"/>
    <mergeCell ref="A1:D1"/>
    <mergeCell ref="C2:D2"/>
    <mergeCell ref="A2:B2"/>
    <mergeCell ref="F1:G1"/>
    <mergeCell ref="H1:K1"/>
    <mergeCell ref="L1:O1"/>
    <mergeCell ref="F2:G2"/>
    <mergeCell ref="H2:K2"/>
    <mergeCell ref="L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lreyes</cp:lastModifiedBy>
  <dcterms:modified xsi:type="dcterms:W3CDTF">2025-12-12T20:11:55Z</dcterms:modified>
</cp:coreProperties>
</file>